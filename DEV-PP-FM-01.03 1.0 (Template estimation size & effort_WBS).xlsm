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5" yWindow="-15" windowWidth="12000" windowHeight="8310" tabRatio="819"/>
  </bookViews>
  <sheets>
    <sheet name="00.HDSD&amp;PheDuyet" sheetId="8" r:id="rId1"/>
    <sheet name="Title" sheetId="9" r:id="rId2"/>
    <sheet name="RevisionHistory" sheetId="10" r:id="rId3"/>
    <sheet name="ListTaiLieuLienQuan" sheetId="11" r:id="rId4"/>
    <sheet name="EstimateTongHop" sheetId="2" r:id="rId5"/>
    <sheet name="WBSSizeEstimate" sheetId="18" r:id="rId6"/>
    <sheet name="Non-FunctionalSizeEstimate" sheetId="7" r:id="rId7"/>
    <sheet name="EstimateCongSoKhac" sheetId="16" r:id="rId8"/>
    <sheet name="HDSD" sheetId="12" r:id="rId9"/>
    <sheet name="Do kho-ty le" sheetId="19" state="hidden" r:id="rId10"/>
  </sheets>
  <definedNames>
    <definedName name="Level">'Do kho-ty le'!$B$20:$B$24</definedName>
    <definedName name="_xlnm.Print_Area" localSheetId="7">EstimateCongSoKhac!$A$1:$D$22</definedName>
    <definedName name="_xlnm.Print_Area" localSheetId="6">'Non-FunctionalSizeEstimate'!$A$1:$D$25</definedName>
    <definedName name="_xlnm.Print_Titles" localSheetId="3">ListTaiLieuLienQuan!$3:$4</definedName>
    <definedName name="_xlnm.Print_Titles" localSheetId="2">RevisionHistory!$1:$4</definedName>
  </definedNames>
  <calcPr calcId="124519" calcMode="manual"/>
</workbook>
</file>

<file path=xl/calcChain.xml><?xml version="1.0" encoding="utf-8"?>
<calcChain xmlns="http://schemas.openxmlformats.org/spreadsheetml/2006/main">
  <c r="E51" i="18"/>
  <c r="E52"/>
  <c r="E53"/>
  <c r="E54"/>
  <c r="E55"/>
  <c r="E56"/>
  <c r="E57"/>
  <c r="E58"/>
  <c r="E59"/>
  <c r="E60"/>
  <c r="E61"/>
  <c r="E62"/>
  <c r="E63"/>
  <c r="E64"/>
  <c r="E65"/>
  <c r="E66"/>
  <c r="E67"/>
  <c r="E68"/>
  <c r="E69"/>
  <c r="E70"/>
  <c r="E71"/>
  <c r="E72"/>
  <c r="E73"/>
  <c r="E82"/>
  <c r="E83"/>
  <c r="E84"/>
  <c r="E85"/>
  <c r="E86"/>
  <c r="E87"/>
  <c r="E88"/>
  <c r="E89"/>
  <c r="E92"/>
  <c r="D25" l="1"/>
  <c r="D26"/>
  <c r="D27"/>
  <c r="D28"/>
  <c r="D29"/>
  <c r="D30"/>
  <c r="D31"/>
  <c r="D32"/>
  <c r="D33"/>
  <c r="E33" s="1"/>
  <c r="D34"/>
  <c r="E34" s="1"/>
  <c r="D35"/>
  <c r="E35" s="1"/>
  <c r="D36"/>
  <c r="E36" s="1"/>
  <c r="D37"/>
  <c r="E37" s="1"/>
  <c r="D38"/>
  <c r="E38" s="1"/>
  <c r="D39"/>
  <c r="E39" s="1"/>
  <c r="D40"/>
  <c r="E40" s="1"/>
  <c r="D41"/>
  <c r="E41" s="1"/>
  <c r="D42"/>
  <c r="E42" s="1"/>
  <c r="D43"/>
  <c r="E43" s="1"/>
  <c r="D44"/>
  <c r="E44" s="1"/>
  <c r="D45"/>
  <c r="E45" s="1"/>
  <c r="D46"/>
  <c r="E46" s="1"/>
  <c r="D47"/>
  <c r="E47" s="1"/>
  <c r="D48"/>
  <c r="E48" s="1"/>
  <c r="D49"/>
  <c r="E49" s="1"/>
  <c r="D50"/>
  <c r="E50" s="1"/>
  <c r="D74"/>
  <c r="E74" s="1"/>
  <c r="D75"/>
  <c r="E75" s="1"/>
  <c r="D76"/>
  <c r="E76" s="1"/>
  <c r="D77"/>
  <c r="E77" s="1"/>
  <c r="D78"/>
  <c r="E78" s="1"/>
  <c r="D79"/>
  <c r="E79" s="1"/>
  <c r="D80"/>
  <c r="E80" s="1"/>
  <c r="D81"/>
  <c r="E81" s="1"/>
  <c r="D90"/>
  <c r="E90" s="1"/>
  <c r="D91"/>
  <c r="E91" s="1"/>
  <c r="D93"/>
  <c r="E93" s="1"/>
  <c r="D94"/>
  <c r="E94" s="1"/>
  <c r="D95"/>
  <c r="E95" s="1"/>
  <c r="D96"/>
  <c r="E96" s="1"/>
  <c r="D97"/>
  <c r="E97" s="1"/>
  <c r="D98"/>
  <c r="E98" s="1"/>
  <c r="D99"/>
  <c r="E99" s="1"/>
  <c r="D100"/>
  <c r="E100" s="1"/>
  <c r="D24"/>
  <c r="A30"/>
  <c r="A31"/>
  <c r="A32"/>
  <c r="A33"/>
  <c r="A34"/>
  <c r="A35"/>
  <c r="A36"/>
  <c r="A37"/>
  <c r="A38"/>
  <c r="A39"/>
  <c r="A40"/>
  <c r="A41"/>
  <c r="A42"/>
  <c r="A43"/>
  <c r="A44"/>
  <c r="A45"/>
  <c r="A46"/>
  <c r="A47"/>
  <c r="A48"/>
  <c r="A49"/>
  <c r="A50"/>
  <c r="A74"/>
  <c r="A75"/>
  <c r="A76"/>
  <c r="A77"/>
  <c r="A78"/>
  <c r="A79"/>
  <c r="A80"/>
  <c r="A81"/>
  <c r="A90"/>
  <c r="A91"/>
  <c r="A93"/>
  <c r="A94"/>
  <c r="A95"/>
  <c r="A96"/>
  <c r="A97"/>
  <c r="A98"/>
  <c r="A99"/>
  <c r="A100"/>
  <c r="D21" i="19"/>
  <c r="D22"/>
  <c r="D23"/>
  <c r="D24"/>
  <c r="D20"/>
  <c r="A25" i="18" l="1"/>
  <c r="A26"/>
  <c r="A27"/>
  <c r="A28"/>
  <c r="A29"/>
  <c r="A24"/>
  <c r="D9" l="1"/>
  <c r="D10"/>
  <c r="D11"/>
  <c r="D12"/>
  <c r="D13"/>
  <c r="D14"/>
  <c r="D15"/>
  <c r="D16"/>
  <c r="D17"/>
  <c r="D18"/>
  <c r="D8"/>
  <c r="E28" l="1"/>
  <c r="E30"/>
  <c r="E25"/>
  <c r="E31"/>
  <c r="E26"/>
  <c r="E27"/>
  <c r="E29"/>
  <c r="E32"/>
  <c r="E24"/>
  <c r="A7" i="7"/>
  <c r="A8"/>
  <c r="A9"/>
  <c r="A10"/>
  <c r="A6"/>
  <c r="A11"/>
  <c r="A12"/>
  <c r="C14"/>
  <c r="C6" i="2" s="1"/>
  <c r="G20"/>
  <c r="C20"/>
  <c r="F20"/>
  <c r="D20"/>
  <c r="C15" i="16"/>
  <c r="C11" i="2" s="1"/>
  <c r="A6" i="16"/>
  <c r="A7"/>
  <c r="A8"/>
  <c r="A9"/>
  <c r="A10"/>
  <c r="A11"/>
  <c r="A12"/>
  <c r="A13"/>
  <c r="A14"/>
  <c r="A5"/>
  <c r="I2" i="10"/>
  <c r="H2"/>
  <c r="G2"/>
  <c r="F2"/>
  <c r="E2"/>
  <c r="A13" i="7"/>
  <c r="A5"/>
  <c r="A4"/>
  <c r="E21" i="18" l="1"/>
  <c r="C5" i="2" s="1"/>
  <c r="C7" s="1"/>
  <c r="C10" s="1"/>
  <c r="C13" s="1"/>
</calcChain>
</file>

<file path=xl/sharedStrings.xml><?xml version="1.0" encoding="utf-8"?>
<sst xmlns="http://schemas.openxmlformats.org/spreadsheetml/2006/main" count="277" uniqueCount="197">
  <si>
    <t>STT</t>
  </si>
  <si>
    <t>Size
(Point)</t>
  </si>
  <si>
    <t>Giải thích giá trị</t>
  </si>
  <si>
    <t>%</t>
  </si>
  <si>
    <t>MD</t>
  </si>
  <si>
    <t>Nghiệp vụ phức tạp</t>
  </si>
  <si>
    <t>Từ 0-&gt;20%</t>
  </si>
  <si>
    <t>Yêu cầu phi chức năng cao
(Performance, security)</t>
  </si>
  <si>
    <t xml:space="preserve">- Việc sử dụng biểu mẫu này được quy định trong: </t>
  </si>
  <si>
    <t>-</t>
  </si>
  <si>
    <t>- Biểu mẫu này được sử dụng để:</t>
  </si>
  <si>
    <t>SOẠN THẢO</t>
  </si>
  <si>
    <t>&lt;Họ tên người soạn thảo&gt;</t>
  </si>
  <si>
    <t>PHÊ DUYỆT</t>
  </si>
  <si>
    <t>&lt;Chức danh&gt;</t>
  </si>
  <si>
    <t>&lt;Họ tên người phê duyệt&gt;</t>
  </si>
  <si>
    <t>&lt;Mã hiệu&gt;</t>
  </si>
  <si>
    <t>&lt;TÊN DỰ ÁN&gt;</t>
  </si>
  <si>
    <t>Phiên bản: &lt;#.##&gt;</t>
  </si>
  <si>
    <t>Ngày hiệu lực: &lt;dd/mm/yyyy&gt;</t>
  </si>
  <si>
    <t>Create date</t>
  </si>
  <si>
    <t>Creator</t>
  </si>
  <si>
    <t>Edit date</t>
  </si>
  <si>
    <t>Editor</t>
  </si>
  <si>
    <t>Ver</t>
  </si>
  <si>
    <t>Ngày</t>
  </si>
  <si>
    <t>Người thực hiện</t>
  </si>
  <si>
    <t>Phiên bản</t>
  </si>
  <si>
    <t>Nội dung chỉnh sửa</t>
  </si>
  <si>
    <t>DANH MỤC TÀI LIỆU LIÊN QUAN</t>
  </si>
  <si>
    <t>stt</t>
  </si>
  <si>
    <t>Tên tài liệu</t>
  </si>
  <si>
    <t>Mã hiệu</t>
  </si>
  <si>
    <r>
      <t xml:space="preserve">Nội dung tài liệu
</t>
    </r>
    <r>
      <rPr>
        <b/>
        <i/>
        <sz val="9"/>
        <color indexed="8"/>
        <rFont val="Times New Roman"/>
        <family val="1"/>
      </rPr>
      <t>(mô tả sơ lược)</t>
    </r>
  </si>
  <si>
    <t>Nơi lưu tài liệu</t>
  </si>
  <si>
    <t>1</t>
  </si>
  <si>
    <t>2</t>
  </si>
  <si>
    <t>3</t>
  </si>
  <si>
    <t>4</t>
  </si>
  <si>
    <t>5</t>
  </si>
  <si>
    <t>HƯỚNG DẪN CÁCH ĐIỀN GIÁ TRỊ</t>
  </si>
  <si>
    <t>Tên cột</t>
  </si>
  <si>
    <t>Hướng dẫn cách điền thông tin</t>
  </si>
  <si>
    <t>BIỂU MẪU ESTIMATION SIZE &amp; EFFORT - WBS</t>
  </si>
  <si>
    <r>
      <t>HƯỚNG DẪN SỬ DỤNG BIỂU MẪU</t>
    </r>
    <r>
      <rPr>
        <sz val="10"/>
        <rFont val="Times New Roman"/>
        <family val="1"/>
      </rPr>
      <t xml:space="preserve"> (</t>
    </r>
    <r>
      <rPr>
        <b/>
        <sz val="11"/>
        <color indexed="10"/>
        <rFont val="Times New Roman"/>
        <family val="1"/>
      </rPr>
      <t>cần đọc kỹ trước khi sử dụng</t>
    </r>
    <r>
      <rPr>
        <sz val="10"/>
        <rFont val="Times New Roman"/>
        <family val="1"/>
      </rPr>
      <t>):</t>
    </r>
  </si>
  <si>
    <r>
      <t>-</t>
    </r>
    <r>
      <rPr>
        <sz val="12"/>
        <rFont val="Times New Roman"/>
        <family val="1"/>
      </rPr>
      <t>       Khi tạo tài liệu/hồ sơ, người sử dụng chỉ được phép điền thông tin vào các mục như hướng dẫn, không được sửa đổi các nội dung có sẵn trong biểu mẫu, trừ các nội dung được ghi trong dấu ngoặc nhọn (&lt; &gt;).</t>
    </r>
  </si>
  <si>
    <r>
      <t>Trang 2 (</t>
    </r>
    <r>
      <rPr>
        <i/>
        <sz val="11"/>
        <rFont val="Times New Roman"/>
        <family val="1"/>
      </rPr>
      <t>Sheet [01.Title]</t>
    </r>
    <r>
      <rPr>
        <sz val="11"/>
        <rFont val="Times New Roman"/>
        <family val="1"/>
      </rPr>
      <t>): Nội dung chính của biểu mẫu: phần trang bìa.</t>
    </r>
  </si>
  <si>
    <r>
      <t>- Văn bản này gồm các trang (</t>
    </r>
    <r>
      <rPr>
        <i/>
        <sz val="11"/>
        <rFont val="Times New Roman"/>
        <family val="1"/>
      </rPr>
      <t>sheet</t>
    </r>
    <r>
      <rPr>
        <sz val="11"/>
        <rFont val="Times New Roman"/>
        <family val="1"/>
      </rPr>
      <t>) sau:</t>
    </r>
  </si>
  <si>
    <t>Hệ số quản lý</t>
  </si>
  <si>
    <t>Tổng công số</t>
  </si>
  <si>
    <t>Giá trị</t>
  </si>
  <si>
    <t>Hạng mục</t>
  </si>
  <si>
    <t>Số lượng</t>
  </si>
  <si>
    <t>Đơn vị</t>
  </si>
  <si>
    <t>Tham khảo</t>
  </si>
  <si>
    <t>Tổng công số</t>
  </si>
  <si>
    <t>Các giá trị được phép điền trong cột [Giá trị], người dùng không phải điền vào cột này.</t>
  </si>
  <si>
    <t>Tên công việc</t>
  </si>
  <si>
    <t>Mô tả công việc</t>
  </si>
  <si>
    <t>PHÂN BỔ CÔNG SỐ</t>
  </si>
  <si>
    <t>ESTIMATION TỔNG HỢP</t>
  </si>
  <si>
    <t>Tên giai đoạn</t>
  </si>
  <si>
    <t>Cost</t>
  </si>
  <si>
    <t>Effort
(MD)</t>
  </si>
  <si>
    <t>Công số khác</t>
  </si>
  <si>
    <t>ESTIMATION - SIZE &amp; EFFORT - WBS</t>
  </si>
  <si>
    <t>Mã</t>
  </si>
  <si>
    <t>Tên giai đoạn</t>
  </si>
  <si>
    <t>Effort (MD)</t>
  </si>
  <si>
    <t>Các dự án ODC không phải làm phần này.</t>
  </si>
  <si>
    <t>Dùng để estimate phương án tổ chức thực hiện dự án.</t>
  </si>
  <si>
    <t>Size (Point)</t>
  </si>
  <si>
    <t>Điền số tăng dần từ 1.</t>
  </si>
  <si>
    <t>Tên công việc</t>
  </si>
  <si>
    <t>Ghi tên các công việc ngoài phát triển, ví dụ các công việc liên quan đến họp, dịch tài liệu, viết tài liệu, nghiên cứu, quản lý,…</t>
  </si>
  <si>
    <t>Công số (MD)</t>
  </si>
  <si>
    <t>Mô tả công việc</t>
  </si>
  <si>
    <t>Estimate size, effort, schedule, cost cho dự án bằng phương pháp WBS.</t>
  </si>
  <si>
    <r>
      <t>Trang 1 (</t>
    </r>
    <r>
      <rPr>
        <i/>
        <sz val="11"/>
        <rFont val="Times New Roman"/>
        <family val="1"/>
      </rPr>
      <t>Sheet [00.HDSD&amp;PheDuyet]</t>
    </r>
    <r>
      <rPr>
        <sz val="11"/>
        <rFont val="Times New Roman"/>
        <family val="1"/>
      </rPr>
      <t>): Quy định chung về sử dụng biểu mẫu, xác nhận ban hành.</t>
    </r>
  </si>
  <si>
    <r>
      <t>Trang 3 (</t>
    </r>
    <r>
      <rPr>
        <i/>
        <sz val="11"/>
        <rFont val="Times New Roman"/>
        <family val="1"/>
      </rPr>
      <t>Sheet [02.RevisionHistory]</t>
    </r>
    <r>
      <rPr>
        <sz val="11"/>
        <rFont val="Times New Roman"/>
        <family val="1"/>
      </rPr>
      <t>): Nội dung chính của biểu mẫu: phần theo dõi sửa đổi tài liệu.</t>
    </r>
  </si>
  <si>
    <t>Tổng</t>
  </si>
  <si>
    <t>Functional Size</t>
  </si>
  <si>
    <t>Non-Functional Size</t>
  </si>
  <si>
    <t>Total Size</t>
  </si>
  <si>
    <t>Chi phí khác</t>
  </si>
  <si>
    <t>Năng suất tiêu chuẩn</t>
  </si>
  <si>
    <t>&lt;…&gt;</t>
  </si>
  <si>
    <t>Tổng size của sản phẩm.
Mục này đã được đặt sẵn công thức, người dùng không phải điền.</t>
  </si>
  <si>
    <t>Công số phát triển</t>
  </si>
  <si>
    <t>Công số phát triển</t>
  </si>
  <si>
    <t>Công số phát triển = Total Size/Năng suất tiêu chuẩn.
Mục này đã được đặt sẵn công thức, người dùng không phải điền.</t>
  </si>
  <si>
    <t>Công số khác</t>
  </si>
  <si>
    <t>Tổng công số = (Công số phát triển + Công số khác)*(100 + Hệ số quản lý)/100.
Mục này đã được đặt sẵn công thức, người dùng không phải điền.</t>
  </si>
  <si>
    <t>Team Size (Người)</t>
  </si>
  <si>
    <t>Schedule (Tuần)</t>
  </si>
  <si>
    <t>Cost
(Đồng)</t>
  </si>
  <si>
    <t>Schedule
(Tuần)</t>
  </si>
  <si>
    <t>Team Size
(Người)</t>
  </si>
  <si>
    <t>Nội dung yêu cầu</t>
  </si>
  <si>
    <t>Non-Fuctional Size</t>
  </si>
  <si>
    <t>List các yêu cầu phi chức năng. Có thể thêm dòng nếu có nhiều yêu cầu phi chức năng.</t>
  </si>
  <si>
    <t>Điền giá trị thích hợp.</t>
  </si>
  <si>
    <t>Cost tiêu chuẩn</t>
  </si>
  <si>
    <t>Point</t>
  </si>
  <si>
    <t>Point/MD</t>
  </si>
  <si>
    <t>Đồng/Người/Tháng</t>
  </si>
  <si>
    <t>Ghi số chi phí dự kiến cho từng giai đoạn. Đơn vị: Đồng.
Cost = Team Size * Schedule * Cost tiêu chuẩn.</t>
  </si>
  <si>
    <t>Là chi phí trung bình của 1 nhân công trong 1 tháng. 
Cost tiêu chuẩn = 30,000,000 đồng/người/tháng (Ba mươi triệu đồng/người/tháng).
(1 tháng = 20 ngày làm việc = 4 tuần làm việc).</t>
  </si>
  <si>
    <t>Ghi công số (effort) dự kiến để thực hiện công việc.</t>
  </si>
  <si>
    <t>Mô tả chi tiết nội dung công việc.</t>
  </si>
  <si>
    <t>Ghi mã của giai đoạn phát triển dự án.</t>
  </si>
  <si>
    <t>Ghi tên các giai đoạn phát triển dự án dự kiến.</t>
  </si>
  <si>
    <t>Ghi số point dự kiến phân bổ cho từng giai đoạn.</t>
  </si>
  <si>
    <t>Ghi số effort dự kiến phân bổ cho từng giai đoạn.</t>
  </si>
  <si>
    <t>Ghi số người dự kiến phân bổ cho từng giai đoạn.</t>
  </si>
  <si>
    <t>Ghi số ngày hoặc tuần phát triển dự kiến cho từng giai đoạn.</t>
  </si>
  <si>
    <t>Bao gồm các chi phí liên quan đến việc mua máy móc, thiết bị, tool, … phục vụ riêng cho dự án.
(Không bao gồm các chi phí phổ thông như PC, OS, các phần mềm phổ biến).</t>
  </si>
  <si>
    <t>Bùi Trần Lượng</t>
  </si>
  <si>
    <t>Quy trình estimate CMMI-PP-PR-001.</t>
  </si>
  <si>
    <r>
      <t>Trang 4 (</t>
    </r>
    <r>
      <rPr>
        <i/>
        <sz val="11"/>
        <rFont val="Times New Roman"/>
        <family val="1"/>
      </rPr>
      <t xml:space="preserve">Sheet [03.ListTaiLieuLienQuan]): </t>
    </r>
    <r>
      <rPr>
        <u/>
        <sz val="11"/>
        <rFont val="Times New Roman"/>
        <family val="1"/>
      </rPr>
      <t>Nội dung chính của biểu mẫu</t>
    </r>
    <r>
      <rPr>
        <sz val="11"/>
        <rFont val="Times New Roman"/>
        <family val="1"/>
      </rPr>
      <t>: Phần liệt kê các tài liệu có liên quan đến tài liệu - hồ sơ sẽ được tạo.</t>
    </r>
  </si>
  <si>
    <r>
      <t>Trang 5 (</t>
    </r>
    <r>
      <rPr>
        <i/>
        <sz val="11"/>
        <rFont val="Times New Roman"/>
        <family val="1"/>
      </rPr>
      <t>Sheet [04.EstimateTongHop]</t>
    </r>
    <r>
      <rPr>
        <sz val="11"/>
        <rFont val="Times New Roman"/>
        <family val="1"/>
      </rPr>
      <t xml:space="preserve">): </t>
    </r>
    <r>
      <rPr>
        <u/>
        <sz val="11"/>
        <rFont val="Times New Roman"/>
        <family val="1"/>
      </rPr>
      <t>Nội dung chính của biểu mẫu:</t>
    </r>
    <r>
      <rPr>
        <sz val="11"/>
        <rFont val="Times New Roman"/>
        <family val="1"/>
      </rPr>
      <t xml:space="preserve"> Phần thể hiện kết quả cuối cùng của quá trình estimate gồm size (point) và effort (MD).</t>
    </r>
  </si>
  <si>
    <r>
      <t>Trang 6 (</t>
    </r>
    <r>
      <rPr>
        <i/>
        <sz val="11"/>
        <rFont val="Times New Roman"/>
        <family val="1"/>
      </rPr>
      <t>Sheet [05.WBS]</t>
    </r>
    <r>
      <rPr>
        <sz val="11"/>
        <rFont val="Times New Roman"/>
        <family val="1"/>
      </rPr>
      <t xml:space="preserve">): </t>
    </r>
    <r>
      <rPr>
        <u/>
        <sz val="11"/>
        <rFont val="Times New Roman"/>
        <family val="1"/>
      </rPr>
      <t>Nội dung chính của biểu mẫu:</t>
    </r>
    <r>
      <rPr>
        <sz val="11"/>
        <rFont val="Times New Roman"/>
        <family val="1"/>
      </rPr>
      <t xml:space="preserve"> Phần phân rã các công việc cần thực hiện trong dự án.</t>
    </r>
  </si>
  <si>
    <r>
      <t>Trang 7 (</t>
    </r>
    <r>
      <rPr>
        <i/>
        <sz val="11"/>
        <rFont val="Times New Roman"/>
        <family val="1"/>
      </rPr>
      <t>Sheet [06.FunctionalSizeEstimate]</t>
    </r>
    <r>
      <rPr>
        <sz val="11"/>
        <rFont val="Times New Roman"/>
        <family val="1"/>
      </rPr>
      <t xml:space="preserve">): </t>
    </r>
    <r>
      <rPr>
        <u/>
        <sz val="11"/>
        <rFont val="Times New Roman"/>
        <family val="1"/>
      </rPr>
      <t>Nội dung chính của biểu mẫu</t>
    </r>
    <r>
      <rPr>
        <sz val="11"/>
        <rFont val="Times New Roman"/>
        <family val="1"/>
      </rPr>
      <t>: Phần liệt kê danh sách màn hình/chức năng của hệ thống được estimate và chi tiết tính toán tương ứng.</t>
    </r>
  </si>
  <si>
    <r>
      <t>Trang 8 (</t>
    </r>
    <r>
      <rPr>
        <i/>
        <sz val="11"/>
        <rFont val="Times New Roman"/>
        <family val="1"/>
      </rPr>
      <t>Sheet [07.EstimateCongSoKhac]</t>
    </r>
    <r>
      <rPr>
        <sz val="11"/>
        <rFont val="Times New Roman"/>
        <family val="1"/>
      </rPr>
      <t xml:space="preserve">): </t>
    </r>
    <r>
      <rPr>
        <u/>
        <sz val="11"/>
        <rFont val="Times New Roman"/>
        <family val="1"/>
      </rPr>
      <t>Nội dung chính của biểu mẫu</t>
    </r>
    <r>
      <rPr>
        <sz val="11"/>
        <rFont val="Times New Roman"/>
        <family val="1"/>
      </rPr>
      <t>: Phần liệt kê danh sách các công việc ngoài phát triển và estimate công số cho các công việc này.</t>
    </r>
  </si>
  <si>
    <r>
      <t>Trang 9 (</t>
    </r>
    <r>
      <rPr>
        <i/>
        <sz val="11"/>
        <rFont val="Times New Roman"/>
        <family val="1"/>
      </rPr>
      <t>Sheet [08.Non-FunctionalSizeEstimate</t>
    </r>
    <r>
      <rPr>
        <sz val="11"/>
        <rFont val="Times New Roman"/>
        <family val="1"/>
      </rPr>
      <t xml:space="preserve">): </t>
    </r>
    <r>
      <rPr>
        <u/>
        <sz val="11"/>
        <rFont val="Times New Roman"/>
        <family val="1"/>
      </rPr>
      <t>Nội dung chính của biểu mẫu</t>
    </r>
    <r>
      <rPr>
        <sz val="11"/>
        <rFont val="Times New Roman"/>
        <family val="1"/>
      </rPr>
      <t>: Phần tính công số cho các yêu cầu phi chức năng.</t>
    </r>
  </si>
  <si>
    <r>
      <t>Trang 10 (</t>
    </r>
    <r>
      <rPr>
        <i/>
        <sz val="11"/>
        <rFont val="Times New Roman"/>
        <family val="1"/>
      </rPr>
      <t>Sheet [09.PhuLuc]</t>
    </r>
    <r>
      <rPr>
        <sz val="11"/>
        <rFont val="Times New Roman"/>
        <family val="1"/>
      </rPr>
      <t xml:space="preserve">): </t>
    </r>
    <r>
      <rPr>
        <u/>
        <sz val="11"/>
        <rFont val="Times New Roman"/>
        <family val="1"/>
      </rPr>
      <t>Nội dung chính của biểu mẫu</t>
    </r>
    <r>
      <rPr>
        <sz val="11"/>
        <rFont val="Times New Roman"/>
        <family val="1"/>
      </rPr>
      <t>: Phần giải thích và quy định các hệ số quy đổi từ số lượng logic ra số point dựa trên độ khó của màn hình/chức năng.</t>
    </r>
  </si>
  <si>
    <t>Trang 11 đến 15: Hướng dẫn và ví dụ cách điền các khoản mục phần nội dung chính của biểu mẫu.</t>
  </si>
  <si>
    <r>
      <t>-</t>
    </r>
    <r>
      <rPr>
        <sz val="12"/>
        <rFont val="Times New Roman"/>
        <family val="1"/>
      </rPr>
      <t>       Trước khi sử dụng biểu mẫu để tạo tài liệu/hồ sơ, người sử dụng cần đọc kỹ các hướng dẫn sử dụng ở trang 1, trang 11 đến 15 của tài liệu này và thực hiện đúng theo hướng dẫn.</t>
    </r>
  </si>
  <si>
    <r>
      <t>-</t>
    </r>
    <r>
      <rPr>
        <sz val="12"/>
        <rFont val="Times New Roman"/>
        <family val="1"/>
      </rPr>
      <t>       Biểu mẫu được hiểu là phần nội dung được ghi trong trang 2 đến 10. Người sử dụng chỉ được phép sử dụng các trang này để tạo tài liệu/hồ sơ. Các nội dung trong trang khác không nằm trong nội dung biểu mẫu và cần phải được xóa đi khi tạo tài liệu/hồ sơ.</t>
    </r>
  </si>
  <si>
    <t>PM dự án CMMI</t>
  </si>
  <si>
    <t>Dễ</t>
  </si>
  <si>
    <t>I.</t>
  </si>
  <si>
    <t>II.</t>
  </si>
  <si>
    <t>Phase sản phẩm</t>
  </si>
  <si>
    <t>Coding</t>
  </si>
  <si>
    <t>I. ESTIMATE CÁC CÔNG VIỆC NGOÀI PHÁT TRIỂN</t>
  </si>
  <si>
    <t>I. ESTIMATE SIZE CHO CÁC YÊU CẦU PHI CHỨC NĂNG</t>
  </si>
  <si>
    <r>
      <t xml:space="preserve">Bảng [I.Estimation tổng hợp] </t>
    </r>
    <r>
      <rPr>
        <b/>
        <i/>
        <sz val="11"/>
        <color indexed="8"/>
        <rFont val="Times New Roman"/>
        <family val="1"/>
      </rPr>
      <t>(Sheet [EstimateTongHop])</t>
    </r>
  </si>
  <si>
    <t>Thông tin đo size sản phẩm dựa trên màn hình, chức năng.
Mục này được tính toán trong sheet [FunctionalSizeEstimate] và đã được đặt sẵn công thức, người dùng không phải điền.</t>
  </si>
  <si>
    <t>Thông tin đo size các yêu cầu phi chức năng.
Mục này được tính toán trong sheet [Non-FunctionalSizeEstimate] và đã được đặt sẵn công thức, người dùng không phải điền.</t>
  </si>
  <si>
    <r>
      <t xml:space="preserve">Giá trị năng suất tiêu chuẩn quy định của Công ty: 25 Point/MD, sai số trong khoảng </t>
    </r>
    <r>
      <rPr>
        <sz val="11"/>
        <rFont val="Times New Roman"/>
        <family val="1"/>
      </rPr>
      <t>±</t>
    </r>
    <r>
      <rPr>
        <sz val="11"/>
        <color theme="1"/>
        <rFont val="Times New Roman"/>
        <family val="1"/>
      </rPr>
      <t>5 Point/MD.
Xem Quy trình estimate để quyết định giá trị năng suất tiêu chuẩn cho dự án.</t>
    </r>
  </si>
  <si>
    <t>Công số ngoài phát triển, ví dụ công số phát sinh do dịch tài liệu, họp dự án, ...
Mục này được tính toán trong sheet [EstimateCongSoKhac] và được đặt sẵn công thức, người dùng không phải điền.</t>
  </si>
  <si>
    <t>Hệ số % cho các công việc để quản lý chung toàn dự án.
Hệ số này có giá trị tối đa là 20%/tổng công số phát triển</t>
  </si>
  <si>
    <r>
      <t xml:space="preserve">Bảng [B.Phân bổ công số] </t>
    </r>
    <r>
      <rPr>
        <b/>
        <i/>
        <sz val="11"/>
        <color indexed="8"/>
        <rFont val="Times New Roman"/>
        <family val="1"/>
      </rPr>
      <t>(Sheet [EstimateTongHop])</t>
    </r>
  </si>
  <si>
    <r>
      <t xml:space="preserve">Bảng [II.Bảng tổng hợp size dự án] </t>
    </r>
    <r>
      <rPr>
        <b/>
        <i/>
        <sz val="11"/>
        <color indexed="8"/>
        <rFont val="Times New Roman"/>
        <family val="1"/>
      </rPr>
      <t>(Sheet [FunctionalSizeEstimate])</t>
    </r>
  </si>
  <si>
    <t>Các giai đoạn phát triển dự án phải trải qua</t>
  </si>
  <si>
    <t>Total size dự án</t>
  </si>
  <si>
    <t>Toàn bộ size phát triển của dự án</t>
  </si>
  <si>
    <r>
      <t xml:space="preserve">Bảng [I.Estimate các công việc ngoài phát triển] </t>
    </r>
    <r>
      <rPr>
        <b/>
        <i/>
        <sz val="11"/>
        <color indexed="8"/>
        <rFont val="Times New Roman"/>
        <family val="1"/>
      </rPr>
      <t>(Sheet [EstimateCongSoKhac])</t>
    </r>
  </si>
  <si>
    <r>
      <t xml:space="preserve">Bảng [I. Estimate size cho các yêu cầu phi chức năng] </t>
    </r>
    <r>
      <rPr>
        <b/>
        <i/>
        <sz val="11"/>
        <color indexed="8"/>
        <rFont val="Times New Roman"/>
        <family val="1"/>
      </rPr>
      <t>(Sheet [Non-FunctionalSizeEstimate])</t>
    </r>
  </si>
  <si>
    <t>Xử lý phân tán</t>
  </si>
  <si>
    <t>URD</t>
  </si>
  <si>
    <t>SRS</t>
  </si>
  <si>
    <t>MOCK</t>
  </si>
  <si>
    <t>UT (test unit từng hàm số)</t>
  </si>
  <si>
    <t>Độ khó</t>
  </si>
  <si>
    <t>Rất dễ</t>
  </si>
  <si>
    <t>Rất khó</t>
  </si>
  <si>
    <t>PROJECT LIFE CYCLE</t>
  </si>
  <si>
    <t>Lựa chọn Project Life Cycle</t>
  </si>
  <si>
    <t>Project Phase</t>
  </si>
  <si>
    <t>% tiêu chuẩn</t>
  </si>
  <si>
    <t>Chọn?</t>
  </si>
  <si>
    <t xml:space="preserve">FT: Test + fixbug </t>
  </si>
  <si>
    <t>FT: Testcase</t>
  </si>
  <si>
    <t>FT: Evidence</t>
  </si>
  <si>
    <t>IT: Testcase, test + fixbug</t>
  </si>
  <si>
    <t>IT: Evidence</t>
  </si>
  <si>
    <t>Test performance</t>
  </si>
  <si>
    <t>Trung bình</t>
  </si>
  <si>
    <t>TOTAL</t>
  </si>
  <si>
    <t>Estimate theo WBS</t>
  </si>
  <si>
    <t>Tỷ lệ % phase dự án</t>
  </si>
  <si>
    <t>Tiêu chuẩn Point theo độ khó</t>
  </si>
  <si>
    <t>Loại</t>
  </si>
  <si>
    <t>Khó</t>
  </si>
  <si>
    <t>Point coding</t>
  </si>
  <si>
    <t>Total</t>
  </si>
  <si>
    <t>PM/PL dự án lựa chọn các phase dự án dự định tham gia phát triển</t>
  </si>
  <si>
    <t>Công số
(md)</t>
  </si>
  <si>
    <t>Total Point</t>
  </si>
  <si>
    <t>Chức năng/Màn hình/Ticket</t>
  </si>
  <si>
    <t>TOTAL SIZE</t>
  </si>
  <si>
    <t>Chú ý:</t>
  </si>
  <si>
    <t xml:space="preserve">Danh sách các phase của dự án, PM/PL lựa chọn những phase dự định sẽ phát triển trong dự án
</t>
  </si>
  <si>
    <t>Lựa chọn Yes/No theo combo sẵn có</t>
  </si>
  <si>
    <t>Kick vào button "CHỌN" sau khi đã lựa chọn hết các phase dự án</t>
  </si>
  <si>
    <r>
      <t xml:space="preserve">Bảng Lựa chọn Project Life Cycle </t>
    </r>
    <r>
      <rPr>
        <b/>
        <i/>
        <sz val="11"/>
        <color theme="1"/>
        <rFont val="Times New Roman"/>
        <family val="1"/>
      </rPr>
      <t>(Sheet [WBSSizeEstimate])</t>
    </r>
  </si>
  <si>
    <t xml:space="preserve">Bảng Estimate theo WBS </t>
  </si>
  <si>
    <t>- Tên Chức năng hoặc màn hình, hoặc ticket để thực hiện estimate.
Cách lựa chọn: tùy từng dự án, chia nhỏ nhất có thể để đạt được độ chính xác cao nhất.
- Trong trường hợp những Chức năng/Màn hình/Ticket có độ khó vượt qua 5 mức tiêu chuẩn của công ty thì bắt buộc PM/PL dự án phải chia nhỏ thành các subfunction
- Yêu cầu phải liệt kê trong các dòng liền kề, không ngắt quãng</t>
  </si>
  <si>
    <t>Lựa chọn độ khó dễ cho từng chức năng tương ứng bên cột ""Chức năng/Màn hình/Ticket"</t>
  </si>
  <si>
    <t>Độ lớn (size) tiêu chuẩn cho phase coding
Cột này đã có công thức, người dùng không fill nội dung vào</t>
  </si>
  <si>
    <t>Được hiểu là tỷ lệ % của công đoạn đó so với gói cơ bản.
Gói cơ bản bao gồm: 17% URD + 13% SRS + 30%Coding + 15%TC FT + 15%Test + fixbug FT + 10% IT = 100%
Cột này đã có công thức, người dùng không fill nội dung vào</t>
  </si>
  <si>
    <t>Tổng độ lớn của từng chức năng/màn hình/ticket căn cứ vào các phase đã lựa chọn ở bảng trên
Cột này đã có công thức, người dùng không fill nội dung vào</t>
  </si>
  <si>
    <t>Tổng độ lớn của toàn dự án
Cột này đã có công thức, người dùng không fill nội dung vào</t>
  </si>
  <si>
    <t>Chỉ được điền dữ liệu vào các ô/dòng/cột có màu vàng hoặc màu hồng</t>
  </si>
  <si>
    <t>Trần Thị Hương Giang</t>
  </si>
</sst>
</file>

<file path=xl/styles.xml><?xml version="1.0" encoding="utf-8"?>
<styleSheet xmlns="http://schemas.openxmlformats.org/spreadsheetml/2006/main">
  <numFmts count="8">
    <numFmt numFmtId="43" formatCode="_(* #,##0.00_);_(* \(#,##0.00\);_(* &quot;-&quot;??_);_(@_)"/>
    <numFmt numFmtId="164" formatCode="&quot;¥&quot;#,##0.00;\-&quot;¥&quot;#,##0.00"/>
    <numFmt numFmtId="165" formatCode="0.0%"/>
    <numFmt numFmtId="166" formatCode="0.00_ "/>
    <numFmt numFmtId="167" formatCode="yyyy/mm/dd;@"/>
    <numFmt numFmtId="168" formatCode="_(* #,##0_);_(* \(#,##0\);_(* &quot;-&quot;??_);_(@_)"/>
    <numFmt numFmtId="169" formatCode="0.000"/>
    <numFmt numFmtId="170" formatCode="0.00000000000"/>
  </numFmts>
  <fonts count="34">
    <font>
      <sz val="11"/>
      <name val="Times New Roman"/>
      <family val="1"/>
    </font>
    <font>
      <sz val="10"/>
      <name val="Arial"/>
      <family val="2"/>
    </font>
    <font>
      <sz val="6"/>
      <name val="ＭＳ Ｐゴシック"/>
      <family val="3"/>
      <charset val="128"/>
    </font>
    <font>
      <sz val="10"/>
      <name val="ＭＳ Ｐゴシック"/>
      <family val="2"/>
      <charset val="128"/>
    </font>
    <font>
      <sz val="11"/>
      <name val="Times New Roman"/>
      <family val="1"/>
    </font>
    <font>
      <b/>
      <sz val="16"/>
      <name val="Times New Roman"/>
      <family val="1"/>
    </font>
    <font>
      <b/>
      <sz val="11"/>
      <name val="Times New Roman"/>
      <family val="1"/>
    </font>
    <font>
      <b/>
      <sz val="11"/>
      <color indexed="10"/>
      <name val="Times New Roman"/>
      <family val="1"/>
    </font>
    <font>
      <i/>
      <sz val="11"/>
      <name val="Times New Roman"/>
      <family val="1"/>
    </font>
    <font>
      <sz val="11"/>
      <name val="ＭＳ Ｐゴシック"/>
      <family val="3"/>
      <charset val="128"/>
    </font>
    <font>
      <b/>
      <sz val="18"/>
      <name val="Times New Roman"/>
      <family val="1"/>
    </font>
    <font>
      <b/>
      <sz val="14"/>
      <name val="Times New Roman"/>
      <family val="1"/>
    </font>
    <font>
      <b/>
      <i/>
      <sz val="9"/>
      <color indexed="8"/>
      <name val="Times New Roman"/>
      <family val="1"/>
    </font>
    <font>
      <b/>
      <sz val="12"/>
      <name val="Times New Roman"/>
      <family val="1"/>
    </font>
    <font>
      <b/>
      <i/>
      <sz val="11"/>
      <color indexed="8"/>
      <name val="Times New Roman"/>
      <family val="1"/>
    </font>
    <font>
      <sz val="10"/>
      <name val="Times New Roman"/>
      <family val="1"/>
    </font>
    <font>
      <sz val="12"/>
      <name val="Times New Roman"/>
      <family val="1"/>
    </font>
    <font>
      <u/>
      <sz val="11"/>
      <name val="Times New Roman"/>
      <family val="1"/>
    </font>
    <font>
      <sz val="11"/>
      <color rgb="FF3F3F76"/>
      <name val="Calibri"/>
      <family val="3"/>
      <charset val="128"/>
      <scheme val="minor"/>
    </font>
    <font>
      <sz val="11"/>
      <color theme="1"/>
      <name val="Calibri"/>
      <family val="2"/>
    </font>
    <font>
      <sz val="11"/>
      <color theme="1"/>
      <name val="Calibri"/>
      <family val="2"/>
      <charset val="128"/>
      <scheme val="minor"/>
    </font>
    <font>
      <sz val="11"/>
      <color theme="1"/>
      <name val="Arial"/>
      <family val="2"/>
    </font>
    <font>
      <b/>
      <i/>
      <sz val="11"/>
      <color rgb="FFFF0000"/>
      <name val="Times New Roman"/>
      <family val="1"/>
    </font>
    <font>
      <b/>
      <sz val="14"/>
      <color theme="1"/>
      <name val="Times New Roman"/>
      <family val="1"/>
    </font>
    <font>
      <b/>
      <sz val="11"/>
      <color theme="1"/>
      <name val="Times New Roman"/>
      <family val="1"/>
    </font>
    <font>
      <sz val="11"/>
      <color theme="1"/>
      <name val="Times New Roman"/>
      <family val="1"/>
    </font>
    <font>
      <b/>
      <sz val="11"/>
      <color theme="0"/>
      <name val="Times New Roman"/>
      <family val="1"/>
    </font>
    <font>
      <b/>
      <i/>
      <sz val="11"/>
      <color theme="1"/>
      <name val="Times New Roman"/>
      <family val="1"/>
    </font>
    <font>
      <b/>
      <sz val="11"/>
      <color rgb="FF3F3F76"/>
      <name val="Times New Roman"/>
      <family val="1"/>
    </font>
    <font>
      <b/>
      <sz val="11"/>
      <name val="Arial"/>
      <family val="2"/>
    </font>
    <font>
      <b/>
      <sz val="14"/>
      <color rgb="FFFF0000"/>
      <name val="Times New Roman"/>
      <family val="1"/>
    </font>
    <font>
      <b/>
      <sz val="11"/>
      <color rgb="FFFF0000"/>
      <name val="Times New Roman"/>
      <family val="1"/>
    </font>
    <font>
      <sz val="11"/>
      <color rgb="FFFF0000"/>
      <name val="Times New Roman"/>
      <family val="1"/>
    </font>
    <font>
      <b/>
      <i/>
      <sz val="12"/>
      <color rgb="FFFF0000"/>
      <name val="Times New Roman"/>
      <family val="1"/>
    </font>
  </fonts>
  <fills count="12">
    <fill>
      <patternFill patternType="none"/>
    </fill>
    <fill>
      <patternFill patternType="gray125"/>
    </fill>
    <fill>
      <patternFill patternType="solid">
        <fgColor indexed="9"/>
        <bgColor indexed="64"/>
      </patternFill>
    </fill>
    <fill>
      <patternFill patternType="solid">
        <fgColor rgb="FFFFCC99"/>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indexed="22"/>
        <bgColor indexed="64"/>
      </patternFill>
    </fill>
    <fill>
      <patternFill patternType="solid">
        <fgColor rgb="FFFFFF00"/>
        <bgColor indexed="64"/>
      </patternFill>
    </fill>
    <fill>
      <patternFill patternType="solid">
        <fgColor theme="6" tint="0.39997558519241921"/>
        <bgColor indexed="64"/>
      </patternFill>
    </fill>
  </fills>
  <borders count="4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hair">
        <color indexed="64"/>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style="hair">
        <color indexed="64"/>
      </top>
      <bottom style="thin">
        <color indexed="64"/>
      </bottom>
      <diagonal/>
    </border>
    <border>
      <left style="thin">
        <color indexed="64"/>
      </left>
      <right style="thin">
        <color indexed="64"/>
      </right>
      <top style="double">
        <color indexed="64"/>
      </top>
      <bottom style="hair">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diagonal/>
    </border>
    <border>
      <left/>
      <right style="thin">
        <color indexed="64"/>
      </right>
      <top style="hair">
        <color indexed="64"/>
      </top>
      <bottom/>
      <diagonal/>
    </border>
    <border>
      <left style="thin">
        <color rgb="FF7F7F7F"/>
      </left>
      <right style="thin">
        <color rgb="FF7F7F7F"/>
      </right>
      <top style="thin">
        <color rgb="FF7F7F7F"/>
      </top>
      <bottom style="thin">
        <color rgb="FF7F7F7F"/>
      </bottom>
      <diagonal/>
    </border>
    <border>
      <left/>
      <right/>
      <top style="medium">
        <color indexed="64"/>
      </top>
      <bottom style="medium">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auto="1"/>
      </top>
      <bottom style="thin">
        <color theme="4" tint="0.39997558519241921"/>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auto="1"/>
      </top>
      <bottom style="hair">
        <color indexed="64"/>
      </bottom>
      <diagonal/>
    </border>
    <border>
      <left/>
      <right/>
      <top style="thin">
        <color auto="1"/>
      </top>
      <bottom style="hair">
        <color indexed="64"/>
      </bottom>
      <diagonal/>
    </border>
    <border>
      <left/>
      <right/>
      <top style="hair">
        <color indexed="64"/>
      </top>
      <bottom style="thin">
        <color auto="1"/>
      </bottom>
      <diagonal/>
    </border>
    <border>
      <left/>
      <right style="thin">
        <color indexed="64"/>
      </right>
      <top style="thin">
        <color auto="1"/>
      </top>
      <bottom style="hair">
        <color indexed="64"/>
      </bottom>
      <diagonal/>
    </border>
    <border>
      <left/>
      <right style="thin">
        <color indexed="64"/>
      </right>
      <top style="hair">
        <color indexed="64"/>
      </top>
      <bottom style="thin">
        <color auto="1"/>
      </bottom>
      <diagonal/>
    </border>
  </borders>
  <cellStyleXfs count="17">
    <xf numFmtId="0" fontId="0" fillId="0" borderId="0"/>
    <xf numFmtId="43" fontId="1" fillId="0" borderId="0" applyFont="0" applyFill="0" applyBorder="0" applyAlignment="0" applyProtection="0"/>
    <xf numFmtId="0" fontId="18" fillId="3" borderId="34" applyNumberFormat="0" applyAlignment="0" applyProtection="0">
      <alignment vertical="center"/>
    </xf>
    <xf numFmtId="0" fontId="3" fillId="0" borderId="0"/>
    <xf numFmtId="0" fontId="3" fillId="0" borderId="0"/>
    <xf numFmtId="0" fontId="3" fillId="0" borderId="0"/>
    <xf numFmtId="0" fontId="1" fillId="0" borderId="0"/>
    <xf numFmtId="0" fontId="1" fillId="0" borderId="0"/>
    <xf numFmtId="0" fontId="19" fillId="0" borderId="0"/>
    <xf numFmtId="0" fontId="20" fillId="0" borderId="0"/>
    <xf numFmtId="0" fontId="21" fillId="0" borderId="0"/>
    <xf numFmtId="0" fontId="1" fillId="0" borderId="0">
      <alignment vertical="center"/>
    </xf>
    <xf numFmtId="0" fontId="4" fillId="0" borderId="0">
      <alignment vertical="center"/>
    </xf>
    <xf numFmtId="9" fontId="1" fillId="0" borderId="0" applyFont="0" applyFill="0" applyBorder="0" applyAlignment="0" applyProtection="0"/>
    <xf numFmtId="0" fontId="9" fillId="0" borderId="0"/>
    <xf numFmtId="0" fontId="9" fillId="0" borderId="0"/>
    <xf numFmtId="164" fontId="29" fillId="9" borderId="35" applyBorder="0">
      <alignment horizontal="centerContinuous" vertical="center"/>
    </xf>
  </cellStyleXfs>
  <cellXfs count="236">
    <xf numFmtId="0" fontId="0" fillId="0" borderId="0" xfId="0"/>
    <xf numFmtId="0" fontId="4" fillId="0" borderId="0" xfId="4" applyFont="1" applyFill="1" applyAlignment="1">
      <alignment vertical="top"/>
    </xf>
    <xf numFmtId="0" fontId="5" fillId="0" borderId="0" xfId="4" applyFont="1" applyFill="1" applyAlignment="1">
      <alignment vertical="top"/>
    </xf>
    <xf numFmtId="0" fontId="6" fillId="0" borderId="0" xfId="4" applyFont="1" applyFill="1" applyAlignment="1">
      <alignment vertical="top" wrapText="1"/>
    </xf>
    <xf numFmtId="0" fontId="4" fillId="0" borderId="0" xfId="4" quotePrefix="1" applyFont="1" applyFill="1" applyAlignment="1">
      <alignment horizontal="left" vertical="top" wrapText="1"/>
    </xf>
    <xf numFmtId="0" fontId="4" fillId="0" borderId="0" xfId="4" applyFont="1" applyFill="1" applyAlignment="1">
      <alignment horizontal="left" vertical="top" wrapText="1"/>
    </xf>
    <xf numFmtId="0" fontId="4" fillId="0" borderId="0" xfId="4" quotePrefix="1" applyFont="1" applyFill="1" applyAlignment="1">
      <alignment horizontal="right" vertical="top" wrapText="1"/>
    </xf>
    <xf numFmtId="0" fontId="4" fillId="0" borderId="0" xfId="4" quotePrefix="1" applyFont="1" applyFill="1" applyAlignment="1">
      <alignment horizontal="left" vertical="top"/>
    </xf>
    <xf numFmtId="0" fontId="4" fillId="0" borderId="0" xfId="4" quotePrefix="1" applyFont="1" applyFill="1" applyAlignment="1">
      <alignment horizontal="right" vertical="top"/>
    </xf>
    <xf numFmtId="0" fontId="6" fillId="0" borderId="0" xfId="7" applyFont="1" applyFill="1" applyAlignment="1">
      <alignment horizontal="center"/>
    </xf>
    <xf numFmtId="0" fontId="4" fillId="0" borderId="0" xfId="7" applyFont="1" applyFill="1"/>
    <xf numFmtId="0" fontId="6" fillId="0" borderId="0" xfId="7" applyFont="1" applyFill="1" applyAlignment="1">
      <alignment horizontal="right"/>
    </xf>
    <xf numFmtId="0" fontId="10" fillId="0" borderId="0" xfId="7" applyFont="1" applyFill="1" applyAlignment="1">
      <alignment horizontal="right"/>
    </xf>
    <xf numFmtId="0" fontId="22" fillId="0" borderId="0" xfId="7" applyFont="1" applyFill="1" applyAlignment="1">
      <alignment horizontal="right"/>
    </xf>
    <xf numFmtId="0" fontId="4" fillId="0" borderId="0" xfId="7" applyFont="1" applyFill="1" applyAlignment="1">
      <alignment horizontal="right"/>
    </xf>
    <xf numFmtId="0" fontId="8" fillId="0" borderId="0" xfId="7" applyFont="1" applyFill="1"/>
    <xf numFmtId="0" fontId="4" fillId="4" borderId="1" xfId="14" applyFont="1" applyFill="1" applyBorder="1" applyAlignment="1" applyProtection="1">
      <alignment horizontal="center" vertical="center"/>
      <protection hidden="1"/>
    </xf>
    <xf numFmtId="0" fontId="4" fillId="4" borderId="2" xfId="14" applyFont="1" applyFill="1" applyBorder="1" applyAlignment="1" applyProtection="1">
      <alignment horizontal="center" vertical="center"/>
      <protection hidden="1"/>
    </xf>
    <xf numFmtId="0" fontId="4" fillId="0" borderId="0" xfId="14" applyFont="1" applyAlignment="1" applyProtection="1">
      <alignment vertical="top"/>
      <protection hidden="1"/>
    </xf>
    <xf numFmtId="14" fontId="4" fillId="0" borderId="1" xfId="14" applyNumberFormat="1" applyFont="1" applyBorder="1" applyAlignment="1" applyProtection="1">
      <alignment horizontal="center" vertical="top"/>
      <protection hidden="1"/>
    </xf>
    <xf numFmtId="0" fontId="4" fillId="0" borderId="1" xfId="14" applyFont="1" applyBorder="1" applyAlignment="1" applyProtection="1">
      <alignment horizontal="center" vertical="top"/>
      <protection hidden="1"/>
    </xf>
    <xf numFmtId="166" fontId="4" fillId="0" borderId="2" xfId="14" applyNumberFormat="1" applyFont="1" applyBorder="1" applyAlignment="1" applyProtection="1">
      <alignment horizontal="center" vertical="top"/>
      <protection hidden="1"/>
    </xf>
    <xf numFmtId="0" fontId="4" fillId="0" borderId="3" xfId="14" applyFont="1" applyBorder="1" applyAlignment="1" applyProtection="1">
      <alignment horizontal="center" vertical="top"/>
      <protection hidden="1"/>
    </xf>
    <xf numFmtId="0" fontId="4" fillId="0" borderId="3" xfId="14" applyFont="1" applyBorder="1" applyAlignment="1" applyProtection="1">
      <alignment vertical="top"/>
      <protection hidden="1"/>
    </xf>
    <xf numFmtId="0" fontId="6" fillId="4" borderId="4" xfId="14" applyFont="1" applyFill="1" applyBorder="1" applyAlignment="1" applyProtection="1">
      <alignment horizontal="center" vertical="center"/>
      <protection hidden="1"/>
    </xf>
    <xf numFmtId="167" fontId="4" fillId="2" borderId="5" xfId="15" applyNumberFormat="1" applyFont="1" applyFill="1" applyBorder="1" applyAlignment="1" applyProtection="1">
      <alignment horizontal="center" vertical="top"/>
      <protection locked="0"/>
    </xf>
    <xf numFmtId="0" fontId="4" fillId="2" borderId="5" xfId="15" applyFont="1" applyFill="1" applyBorder="1" applyAlignment="1" applyProtection="1">
      <alignment horizontal="center" vertical="center"/>
      <protection locked="0"/>
    </xf>
    <xf numFmtId="2" fontId="4" fillId="2" borderId="6" xfId="15" applyNumberFormat="1" applyFont="1" applyFill="1" applyBorder="1" applyAlignment="1" applyProtection="1">
      <alignment horizontal="center" vertical="top"/>
      <protection locked="0"/>
    </xf>
    <xf numFmtId="167" fontId="4" fillId="2" borderId="7" xfId="15" applyNumberFormat="1" applyFont="1" applyFill="1" applyBorder="1" applyAlignment="1" applyProtection="1">
      <alignment horizontal="center" vertical="top"/>
      <protection locked="0"/>
    </xf>
    <xf numFmtId="0" fontId="4" fillId="2" borderId="7" xfId="15" applyFont="1" applyFill="1" applyBorder="1" applyAlignment="1" applyProtection="1">
      <alignment horizontal="center" vertical="center"/>
      <protection locked="0"/>
    </xf>
    <xf numFmtId="2" fontId="4" fillId="2" borderId="8" xfId="15" applyNumberFormat="1" applyFont="1" applyFill="1" applyBorder="1" applyAlignment="1" applyProtection="1">
      <alignment horizontal="center" vertical="top"/>
      <protection locked="0"/>
    </xf>
    <xf numFmtId="0" fontId="4" fillId="2" borderId="9" xfId="15" applyFont="1" applyFill="1" applyBorder="1" applyAlignment="1" applyProtection="1">
      <alignment horizontal="left" vertical="top" wrapText="1"/>
      <protection locked="0"/>
    </xf>
    <xf numFmtId="0" fontId="4" fillId="2" borderId="10" xfId="15" applyFont="1" applyFill="1" applyBorder="1" applyAlignment="1" applyProtection="1">
      <alignment horizontal="left" vertical="top" wrapText="1"/>
      <protection locked="0"/>
    </xf>
    <xf numFmtId="167" fontId="4" fillId="2" borderId="11" xfId="15" applyNumberFormat="1" applyFont="1" applyFill="1" applyBorder="1" applyAlignment="1" applyProtection="1">
      <alignment horizontal="center" vertical="top"/>
      <protection locked="0"/>
    </xf>
    <xf numFmtId="0" fontId="4" fillId="2" borderId="11" xfId="15" applyFont="1" applyFill="1" applyBorder="1" applyAlignment="1" applyProtection="1">
      <alignment horizontal="center" vertical="center"/>
      <protection locked="0"/>
    </xf>
    <xf numFmtId="2" fontId="4" fillId="2" borderId="12" xfId="15" applyNumberFormat="1" applyFont="1" applyFill="1" applyBorder="1" applyAlignment="1" applyProtection="1">
      <alignment horizontal="center" vertical="top"/>
      <protection locked="0"/>
    </xf>
    <xf numFmtId="167" fontId="4" fillId="2" borderId="13" xfId="15" applyNumberFormat="1" applyFont="1" applyFill="1" applyBorder="1" applyAlignment="1" applyProtection="1">
      <alignment horizontal="center" vertical="top"/>
      <protection locked="0"/>
    </xf>
    <xf numFmtId="0" fontId="4" fillId="2" borderId="13" xfId="15" applyFont="1" applyFill="1" applyBorder="1" applyAlignment="1" applyProtection="1">
      <alignment horizontal="center" vertical="center"/>
      <protection locked="0"/>
    </xf>
    <xf numFmtId="2" fontId="4" fillId="2" borderId="13" xfId="15" applyNumberFormat="1" applyFont="1" applyFill="1" applyBorder="1" applyAlignment="1" applyProtection="1">
      <alignment horizontal="center" vertical="top"/>
      <protection locked="0"/>
    </xf>
    <xf numFmtId="0" fontId="4" fillId="0" borderId="0" xfId="14" applyFont="1" applyAlignment="1" applyProtection="1">
      <alignment horizontal="center" vertical="top"/>
      <protection hidden="1"/>
    </xf>
    <xf numFmtId="49" fontId="23" fillId="0" borderId="0" xfId="9" applyNumberFormat="1" applyFont="1" applyFill="1" applyBorder="1" applyAlignment="1">
      <alignment vertical="center"/>
    </xf>
    <xf numFmtId="49" fontId="24" fillId="0" borderId="0" xfId="9" applyNumberFormat="1" applyFont="1" applyFill="1" applyBorder="1" applyAlignment="1">
      <alignment vertical="center"/>
    </xf>
    <xf numFmtId="49" fontId="24" fillId="0" borderId="0" xfId="9" applyNumberFormat="1" applyFont="1" applyFill="1" applyBorder="1" applyAlignment="1">
      <alignment vertical="top" wrapText="1"/>
    </xf>
    <xf numFmtId="49" fontId="25" fillId="0" borderId="0" xfId="9" applyNumberFormat="1" applyFont="1" applyFill="1" applyBorder="1" applyAlignment="1">
      <alignment vertical="top" wrapText="1"/>
    </xf>
    <xf numFmtId="49" fontId="24" fillId="4" borderId="14" xfId="9" applyNumberFormat="1" applyFont="1" applyFill="1" applyBorder="1" applyAlignment="1">
      <alignment horizontal="center" vertical="top" wrapText="1"/>
    </xf>
    <xf numFmtId="49" fontId="24" fillId="5" borderId="15" xfId="9" applyNumberFormat="1" applyFont="1" applyFill="1" applyBorder="1" applyAlignment="1">
      <alignment horizontal="center" vertical="top" wrapText="1"/>
    </xf>
    <xf numFmtId="49" fontId="25" fillId="0" borderId="0" xfId="9" applyNumberFormat="1" applyFont="1" applyFill="1" applyBorder="1" applyAlignment="1">
      <alignment horizontal="center" vertical="top" wrapText="1"/>
    </xf>
    <xf numFmtId="49" fontId="25" fillId="0" borderId="6" xfId="9" applyNumberFormat="1" applyFont="1" applyFill="1" applyBorder="1" applyAlignment="1">
      <alignment vertical="top" wrapText="1"/>
    </xf>
    <xf numFmtId="49" fontId="25" fillId="0" borderId="5" xfId="9" applyNumberFormat="1" applyFont="1" applyFill="1" applyBorder="1" applyAlignment="1">
      <alignment vertical="top" wrapText="1"/>
    </xf>
    <xf numFmtId="49" fontId="25" fillId="0" borderId="13" xfId="9" applyNumberFormat="1" applyFont="1" applyFill="1" applyBorder="1" applyAlignment="1">
      <alignment vertical="top" wrapText="1"/>
    </xf>
    <xf numFmtId="49" fontId="25" fillId="0" borderId="16" xfId="9" applyNumberFormat="1" applyFont="1" applyFill="1" applyBorder="1" applyAlignment="1">
      <alignment vertical="top" wrapText="1"/>
    </xf>
    <xf numFmtId="0" fontId="25" fillId="0" borderId="0" xfId="10" applyFont="1" applyAlignment="1">
      <alignment vertical="top"/>
    </xf>
    <xf numFmtId="0" fontId="13" fillId="0" borderId="0" xfId="5" applyFont="1" applyFill="1" applyBorder="1" applyAlignment="1">
      <alignment horizontal="left" vertical="top"/>
    </xf>
    <xf numFmtId="0" fontId="24" fillId="0" borderId="0" xfId="10" applyFont="1" applyAlignment="1">
      <alignment vertical="top"/>
    </xf>
    <xf numFmtId="0" fontId="24" fillId="4" borderId="15" xfId="10" applyFont="1" applyFill="1" applyBorder="1" applyAlignment="1">
      <alignment horizontal="left" vertical="top"/>
    </xf>
    <xf numFmtId="0" fontId="24" fillId="4" borderId="15" xfId="10" applyFont="1" applyFill="1" applyBorder="1" applyAlignment="1">
      <alignment horizontal="left" vertical="top" wrapText="1"/>
    </xf>
    <xf numFmtId="0" fontId="25" fillId="0" borderId="17" xfId="10" applyFont="1" applyBorder="1" applyAlignment="1">
      <alignment horizontal="left" vertical="top"/>
    </xf>
    <xf numFmtId="0" fontId="4" fillId="0" borderId="17" xfId="12" applyFont="1" applyFill="1" applyBorder="1" applyAlignment="1">
      <alignment horizontal="left" vertical="top" wrapText="1"/>
    </xf>
    <xf numFmtId="0" fontId="25" fillId="0" borderId="17" xfId="10" applyFont="1" applyBorder="1" applyAlignment="1">
      <alignment horizontal="left" vertical="top" wrapText="1"/>
    </xf>
    <xf numFmtId="0" fontId="25" fillId="0" borderId="8" xfId="10" applyFont="1" applyBorder="1" applyAlignment="1">
      <alignment horizontal="left" vertical="top"/>
    </xf>
    <xf numFmtId="0" fontId="25" fillId="0" borderId="8" xfId="10" applyFont="1" applyBorder="1" applyAlignment="1">
      <alignment horizontal="left" vertical="top" wrapText="1"/>
    </xf>
    <xf numFmtId="0" fontId="4" fillId="0" borderId="8" xfId="12" applyFont="1" applyFill="1" applyBorder="1" applyAlignment="1">
      <alignment horizontal="left" vertical="top" wrapText="1"/>
    </xf>
    <xf numFmtId="0" fontId="25" fillId="0" borderId="13" xfId="10" applyFont="1" applyBorder="1" applyAlignment="1">
      <alignment horizontal="left" vertical="top"/>
    </xf>
    <xf numFmtId="0" fontId="11" fillId="0" borderId="0" xfId="4" applyFont="1" applyFill="1" applyAlignment="1">
      <alignment vertical="top"/>
    </xf>
    <xf numFmtId="0" fontId="4" fillId="0" borderId="0" xfId="4" applyFont="1" applyFill="1" applyAlignment="1">
      <alignment vertical="top" wrapText="1"/>
    </xf>
    <xf numFmtId="0" fontId="13" fillId="0" borderId="0" xfId="4" applyFont="1" applyFill="1" applyAlignment="1">
      <alignment horizontal="right" vertical="top"/>
    </xf>
    <xf numFmtId="0" fontId="16" fillId="0" borderId="0" xfId="4" applyFont="1" applyFill="1" applyAlignment="1">
      <alignment horizontal="right" vertical="top"/>
    </xf>
    <xf numFmtId="0" fontId="5" fillId="0" borderId="0" xfId="7" applyFont="1" applyFill="1" applyAlignment="1">
      <alignment horizontal="right"/>
    </xf>
    <xf numFmtId="0" fontId="0" fillId="0" borderId="0" xfId="0" applyFont="1"/>
    <xf numFmtId="0" fontId="26" fillId="7" borderId="2" xfId="0" applyFont="1" applyFill="1" applyBorder="1"/>
    <xf numFmtId="2" fontId="0" fillId="0" borderId="2" xfId="0" applyNumberFormat="1" applyFont="1" applyBorder="1"/>
    <xf numFmtId="0" fontId="0" fillId="0" borderId="0" xfId="0" applyFont="1" applyAlignment="1">
      <alignment vertical="top"/>
    </xf>
    <xf numFmtId="2" fontId="0" fillId="0" borderId="2" xfId="0" applyNumberFormat="1" applyFont="1" applyBorder="1" applyAlignment="1">
      <alignment horizontal="right" vertical="top"/>
    </xf>
    <xf numFmtId="0" fontId="0" fillId="0" borderId="2" xfId="0" applyFont="1" applyBorder="1" applyAlignment="1">
      <alignment horizontal="right" vertical="top"/>
    </xf>
    <xf numFmtId="0" fontId="11" fillId="0" borderId="0" xfId="0" applyFont="1" applyAlignment="1">
      <alignment vertical="center"/>
    </xf>
    <xf numFmtId="0" fontId="0" fillId="0" borderId="2" xfId="0" applyFont="1" applyBorder="1" applyAlignment="1">
      <alignment vertical="top"/>
    </xf>
    <xf numFmtId="0" fontId="0" fillId="0" borderId="2" xfId="0" applyFont="1" applyBorder="1" applyAlignment="1">
      <alignment vertical="top" wrapText="1"/>
    </xf>
    <xf numFmtId="0" fontId="27" fillId="0" borderId="0" xfId="10" applyFont="1" applyAlignment="1">
      <alignment vertical="top"/>
    </xf>
    <xf numFmtId="0" fontId="6" fillId="5" borderId="2" xfId="6" applyFont="1" applyFill="1" applyBorder="1" applyAlignment="1">
      <alignment horizontal="center"/>
    </xf>
    <xf numFmtId="0" fontId="6" fillId="5" borderId="2" xfId="6" applyFont="1" applyFill="1" applyBorder="1" applyAlignment="1">
      <alignment horizontal="center" vertical="top"/>
    </xf>
    <xf numFmtId="0" fontId="0" fillId="0" borderId="1" xfId="0" applyBorder="1"/>
    <xf numFmtId="1" fontId="0" fillId="0" borderId="2" xfId="0" applyNumberFormat="1" applyFont="1" applyBorder="1" applyAlignment="1">
      <alignment horizontal="right" vertical="top"/>
    </xf>
    <xf numFmtId="1" fontId="0" fillId="0" borderId="2" xfId="0" applyNumberFormat="1" applyBorder="1" applyAlignment="1">
      <alignment horizontal="right" vertical="top"/>
    </xf>
    <xf numFmtId="0" fontId="0" fillId="0" borderId="22" xfId="0" applyFill="1" applyBorder="1"/>
    <xf numFmtId="1" fontId="6" fillId="0" borderId="14" xfId="0" applyNumberFormat="1" applyFont="1" applyFill="1" applyBorder="1"/>
    <xf numFmtId="0" fontId="0" fillId="0" borderId="23" xfId="0" applyFill="1" applyBorder="1"/>
    <xf numFmtId="0" fontId="6" fillId="0" borderId="14" xfId="0" applyFont="1" applyFill="1" applyBorder="1" applyAlignment="1">
      <alignment horizontal="right"/>
    </xf>
    <xf numFmtId="0" fontId="11" fillId="0" borderId="0" xfId="0" applyFont="1" applyAlignment="1">
      <alignment horizontal="right" vertical="center"/>
    </xf>
    <xf numFmtId="0" fontId="0" fillId="0" borderId="0" xfId="0" applyFont="1" applyFill="1" applyBorder="1"/>
    <xf numFmtId="0" fontId="6" fillId="5" borderId="1" xfId="6" applyFont="1" applyFill="1" applyBorder="1" applyAlignment="1">
      <alignment horizontal="center"/>
    </xf>
    <xf numFmtId="0" fontId="0" fillId="0" borderId="1" xfId="0" applyFont="1" applyBorder="1"/>
    <xf numFmtId="0" fontId="6" fillId="0" borderId="0" xfId="6" applyFont="1" applyFill="1" applyBorder="1" applyAlignment="1">
      <alignment horizontal="center"/>
    </xf>
    <xf numFmtId="0" fontId="0" fillId="0" borderId="2" xfId="0" applyBorder="1" applyAlignment="1">
      <alignment vertical="top"/>
    </xf>
    <xf numFmtId="0" fontId="0" fillId="0" borderId="2" xfId="0" applyBorder="1" applyAlignment="1">
      <alignment vertical="top" wrapText="1"/>
    </xf>
    <xf numFmtId="0" fontId="26" fillId="7" borderId="14" xfId="0" applyFont="1" applyFill="1" applyBorder="1"/>
    <xf numFmtId="0" fontId="0" fillId="0" borderId="23" xfId="0" applyFont="1" applyBorder="1"/>
    <xf numFmtId="0" fontId="26" fillId="7" borderId="24" xfId="0" applyFont="1" applyFill="1" applyBorder="1"/>
    <xf numFmtId="0" fontId="0" fillId="0" borderId="25" xfId="0" applyFont="1" applyBorder="1"/>
    <xf numFmtId="0" fontId="0" fillId="0" borderId="27" xfId="0" applyFont="1" applyBorder="1"/>
    <xf numFmtId="3" fontId="0" fillId="0" borderId="2" xfId="0" applyNumberFormat="1" applyFont="1" applyBorder="1" applyAlignment="1">
      <alignment horizontal="right" vertical="top"/>
    </xf>
    <xf numFmtId="0" fontId="6" fillId="7" borderId="19" xfId="0" applyFont="1" applyFill="1" applyBorder="1" applyAlignment="1">
      <alignment horizontal="center" vertical="top"/>
    </xf>
    <xf numFmtId="0" fontId="6" fillId="7" borderId="20" xfId="0" applyFont="1" applyFill="1" applyBorder="1" applyAlignment="1">
      <alignment horizontal="center" vertical="top" wrapText="1"/>
    </xf>
    <xf numFmtId="0" fontId="6" fillId="7" borderId="21" xfId="0" applyFont="1" applyFill="1" applyBorder="1" applyAlignment="1">
      <alignment horizontal="center" vertical="top" wrapText="1"/>
    </xf>
    <xf numFmtId="0" fontId="6" fillId="5" borderId="2" xfId="6" applyFont="1" applyFill="1" applyBorder="1" applyAlignment="1">
      <alignment horizontal="center" vertical="top" wrapText="1"/>
    </xf>
    <xf numFmtId="0" fontId="25" fillId="0" borderId="0" xfId="10" applyFont="1" applyBorder="1" applyAlignment="1">
      <alignment horizontal="left" vertical="top"/>
    </xf>
    <xf numFmtId="0" fontId="4" fillId="0" borderId="0" xfId="4" applyFont="1" applyFill="1" applyAlignment="1">
      <alignment horizontal="left" vertical="top"/>
    </xf>
    <xf numFmtId="0" fontId="13" fillId="0" borderId="0" xfId="0" applyFont="1" applyAlignment="1">
      <alignment vertical="center"/>
    </xf>
    <xf numFmtId="0" fontId="0" fillId="0" borderId="25" xfId="0" applyBorder="1"/>
    <xf numFmtId="0" fontId="25" fillId="0" borderId="12" xfId="10" applyFont="1" applyBorder="1" applyAlignment="1">
      <alignment horizontal="left" vertical="top"/>
    </xf>
    <xf numFmtId="0" fontId="4" fillId="0" borderId="12" xfId="12" applyFont="1" applyFill="1" applyBorder="1" applyAlignment="1">
      <alignment horizontal="left" vertical="top" wrapText="1"/>
    </xf>
    <xf numFmtId="168" fontId="0" fillId="0" borderId="26" xfId="1" applyNumberFormat="1" applyFont="1" applyBorder="1" applyAlignment="1">
      <alignment horizontal="right"/>
    </xf>
    <xf numFmtId="0" fontId="0" fillId="0" borderId="0" xfId="4" applyFont="1" applyFill="1" applyAlignment="1">
      <alignment vertical="top"/>
    </xf>
    <xf numFmtId="170" fontId="0" fillId="0" borderId="0" xfId="0" applyNumberFormat="1" applyFont="1" applyFill="1" applyBorder="1"/>
    <xf numFmtId="169" fontId="30" fillId="5" borderId="26" xfId="0" applyNumberFormat="1" applyFont="1" applyFill="1" applyBorder="1"/>
    <xf numFmtId="2" fontId="0" fillId="0" borderId="2" xfId="0" applyNumberFormat="1" applyBorder="1" applyAlignment="1">
      <alignment horizontal="right" vertical="top"/>
    </xf>
    <xf numFmtId="0" fontId="0" fillId="0" borderId="2" xfId="0" applyBorder="1" applyAlignment="1">
      <alignment horizontal="right" vertical="top"/>
    </xf>
    <xf numFmtId="3" fontId="0" fillId="0" borderId="2" xfId="0" applyNumberFormat="1" applyBorder="1" applyAlignment="1">
      <alignment horizontal="right" vertical="top"/>
    </xf>
    <xf numFmtId="1" fontId="28" fillId="11" borderId="2" xfId="2" applyNumberFormat="1" applyFont="1" applyFill="1" applyBorder="1" applyAlignment="1">
      <alignment horizontal="center" vertical="top" wrapText="1"/>
    </xf>
    <xf numFmtId="2" fontId="0" fillId="0" borderId="0" xfId="0" applyNumberFormat="1" applyFont="1" applyFill="1" applyBorder="1"/>
    <xf numFmtId="0" fontId="25" fillId="0" borderId="17" xfId="12" applyFont="1" applyFill="1" applyBorder="1" applyAlignment="1">
      <alignment horizontal="left" vertical="top" wrapText="1"/>
    </xf>
    <xf numFmtId="0" fontId="25" fillId="0" borderId="8" xfId="12" applyFont="1" applyFill="1" applyBorder="1" applyAlignment="1">
      <alignment horizontal="left" vertical="top" wrapText="1"/>
    </xf>
    <xf numFmtId="0" fontId="25" fillId="0" borderId="13" xfId="12" applyFont="1" applyFill="1" applyBorder="1" applyAlignment="1">
      <alignment horizontal="left" vertical="top" wrapText="1"/>
    </xf>
    <xf numFmtId="0" fontId="25" fillId="0" borderId="13" xfId="11" applyFont="1" applyBorder="1" applyAlignment="1">
      <alignment vertical="top" wrapText="1"/>
    </xf>
    <xf numFmtId="0" fontId="25" fillId="0" borderId="0" xfId="12" applyFont="1" applyFill="1" applyBorder="1" applyAlignment="1">
      <alignment horizontal="left" vertical="top" wrapText="1"/>
    </xf>
    <xf numFmtId="0" fontId="26" fillId="7" borderId="36" xfId="0" applyFont="1" applyFill="1" applyBorder="1" applyAlignment="1">
      <alignment horizontal="center" vertical="top"/>
    </xf>
    <xf numFmtId="0" fontId="0" fillId="0" borderId="36" xfId="0" applyBorder="1"/>
    <xf numFmtId="9" fontId="0" fillId="0" borderId="36" xfId="13" applyFont="1" applyBorder="1"/>
    <xf numFmtId="0" fontId="6" fillId="0" borderId="0" xfId="0" applyFont="1" applyAlignment="1">
      <alignment horizontal="center"/>
    </xf>
    <xf numFmtId="0" fontId="6" fillId="0" borderId="0" xfId="0" applyFont="1"/>
    <xf numFmtId="0" fontId="8" fillId="0" borderId="0" xfId="0" applyFont="1"/>
    <xf numFmtId="0" fontId="11" fillId="0" borderId="0" xfId="0" applyFont="1"/>
    <xf numFmtId="0" fontId="6" fillId="0" borderId="0" xfId="0" applyFont="1" applyAlignment="1">
      <alignment horizontal="left"/>
    </xf>
    <xf numFmtId="0" fontId="6" fillId="8" borderId="36" xfId="0" applyFont="1" applyFill="1" applyBorder="1" applyAlignment="1">
      <alignment horizontal="center"/>
    </xf>
    <xf numFmtId="0" fontId="26" fillId="7" borderId="23" xfId="0" applyFont="1" applyFill="1" applyBorder="1" applyAlignment="1">
      <alignment horizontal="center" vertical="top"/>
    </xf>
    <xf numFmtId="0" fontId="26" fillId="7" borderId="14" xfId="0" applyFont="1" applyFill="1" applyBorder="1" applyAlignment="1">
      <alignment horizontal="center" vertical="top"/>
    </xf>
    <xf numFmtId="0" fontId="25" fillId="0" borderId="23" xfId="0" applyFont="1" applyFill="1" applyBorder="1"/>
    <xf numFmtId="9" fontId="25" fillId="0" borderId="14" xfId="13" applyNumberFormat="1" applyFont="1" applyFill="1" applyBorder="1"/>
    <xf numFmtId="0" fontId="25" fillId="0" borderId="36" xfId="0" applyFont="1" applyFill="1" applyBorder="1"/>
    <xf numFmtId="2" fontId="25" fillId="0" borderId="36" xfId="0" applyNumberFormat="1" applyFont="1" applyFill="1" applyBorder="1"/>
    <xf numFmtId="2" fontId="0" fillId="0" borderId="36" xfId="0" applyNumberFormat="1" applyBorder="1"/>
    <xf numFmtId="0" fontId="25" fillId="0" borderId="36" xfId="0" applyFont="1" applyFill="1" applyBorder="1" applyAlignment="1">
      <alignment horizontal="center"/>
    </xf>
    <xf numFmtId="0" fontId="23" fillId="0" borderId="38" xfId="0" applyFont="1" applyBorder="1"/>
    <xf numFmtId="9" fontId="23" fillId="0" borderId="37" xfId="13" applyNumberFormat="1" applyFont="1" applyBorder="1"/>
    <xf numFmtId="0" fontId="0" fillId="7" borderId="36" xfId="0" applyFont="1" applyFill="1" applyBorder="1" applyAlignment="1">
      <alignment horizontal="center" vertical="top"/>
    </xf>
    <xf numFmtId="0" fontId="0" fillId="0" borderId="36" xfId="0" applyNumberFormat="1" applyFont="1" applyBorder="1" applyAlignment="1">
      <alignment vertical="top"/>
    </xf>
    <xf numFmtId="0" fontId="0" fillId="7" borderId="40" xfId="0" applyFill="1" applyBorder="1" applyAlignment="1">
      <alignment horizontal="center" vertical="top"/>
    </xf>
    <xf numFmtId="0" fontId="0" fillId="0" borderId="39" xfId="0" applyBorder="1" applyAlignment="1">
      <alignment horizontal="left" vertical="top" wrapText="1"/>
    </xf>
    <xf numFmtId="0" fontId="0" fillId="7" borderId="41" xfId="0" applyFont="1" applyFill="1" applyBorder="1" applyAlignment="1">
      <alignment horizontal="center" vertical="top"/>
    </xf>
    <xf numFmtId="0" fontId="0" fillId="0" borderId="22" xfId="0" applyFont="1" applyBorder="1" applyAlignment="1">
      <alignment horizontal="left" vertical="top" wrapText="1"/>
    </xf>
    <xf numFmtId="165" fontId="0" fillId="0" borderId="36" xfId="13" applyNumberFormat="1" applyFont="1" applyBorder="1" applyAlignment="1">
      <alignment horizontal="right" vertical="top"/>
    </xf>
    <xf numFmtId="0" fontId="26" fillId="7" borderId="3" xfId="0" applyFont="1" applyFill="1" applyBorder="1" applyAlignment="1">
      <alignment horizontal="center" vertical="top"/>
    </xf>
    <xf numFmtId="2" fontId="30" fillId="0" borderId="0" xfId="0" applyNumberFormat="1" applyFont="1"/>
    <xf numFmtId="0" fontId="0" fillId="0" borderId="36" xfId="0" applyFill="1" applyBorder="1"/>
    <xf numFmtId="0" fontId="8" fillId="0" borderId="43" xfId="0" applyFont="1" applyFill="1" applyBorder="1" applyAlignment="1">
      <alignment horizontal="left" vertical="top" wrapText="1"/>
    </xf>
    <xf numFmtId="9" fontId="0" fillId="0" borderId="42" xfId="13" applyFont="1" applyFill="1" applyBorder="1" applyAlignment="1">
      <alignment horizontal="right" vertical="top"/>
    </xf>
    <xf numFmtId="0" fontId="8" fillId="0" borderId="45" xfId="0" applyFont="1" applyFill="1" applyBorder="1" applyAlignment="1">
      <alignment horizontal="left" vertical="top" wrapText="1"/>
    </xf>
    <xf numFmtId="0" fontId="8" fillId="0" borderId="9" xfId="0" applyFont="1" applyFill="1" applyBorder="1" applyAlignment="1">
      <alignment horizontal="left" vertical="top" wrapText="1"/>
    </xf>
    <xf numFmtId="9" fontId="0" fillId="0" borderId="8" xfId="13" applyFont="1" applyFill="1" applyBorder="1" applyAlignment="1">
      <alignment horizontal="right" vertical="top"/>
    </xf>
    <xf numFmtId="0" fontId="8" fillId="0" borderId="10" xfId="0" applyFont="1" applyFill="1" applyBorder="1" applyAlignment="1">
      <alignment horizontal="left" vertical="top" wrapText="1"/>
    </xf>
    <xf numFmtId="0" fontId="0" fillId="0" borderId="10" xfId="0" applyFont="1" applyFill="1" applyBorder="1" applyAlignment="1">
      <alignment horizontal="left" vertical="top" wrapText="1"/>
    </xf>
    <xf numFmtId="0" fontId="0" fillId="0" borderId="9" xfId="0" applyFill="1" applyBorder="1" applyAlignment="1">
      <alignment horizontal="left" vertical="top" wrapText="1"/>
    </xf>
    <xf numFmtId="0" fontId="0" fillId="0" borderId="9" xfId="0" applyFont="1" applyFill="1" applyBorder="1" applyAlignment="1">
      <alignment horizontal="left" vertical="top" wrapText="1"/>
    </xf>
    <xf numFmtId="0" fontId="0" fillId="0" borderId="44" xfId="0" applyFill="1" applyBorder="1" applyAlignment="1">
      <alignment horizontal="left" vertical="top" wrapText="1"/>
    </xf>
    <xf numFmtId="9" fontId="0" fillId="0" borderId="13" xfId="13" applyFont="1" applyFill="1" applyBorder="1" applyAlignment="1">
      <alignment horizontal="right" vertical="top"/>
    </xf>
    <xf numFmtId="0" fontId="0" fillId="0" borderId="46" xfId="0" applyFill="1" applyBorder="1" applyAlignment="1">
      <alignment horizontal="left" vertical="top" wrapText="1"/>
    </xf>
    <xf numFmtId="0" fontId="0" fillId="0" borderId="42" xfId="0" applyNumberFormat="1" applyFont="1" applyFill="1" applyBorder="1" applyAlignment="1">
      <alignment horizontal="center" vertical="top"/>
    </xf>
    <xf numFmtId="0" fontId="0" fillId="0" borderId="8" xfId="0" applyNumberFormat="1" applyFont="1" applyFill="1" applyBorder="1" applyAlignment="1">
      <alignment horizontal="center" vertical="top"/>
    </xf>
    <xf numFmtId="0" fontId="0" fillId="0" borderId="13" xfId="0" applyNumberFormat="1" applyFont="1" applyFill="1" applyBorder="1" applyAlignment="1">
      <alignment horizontal="center" vertical="top"/>
    </xf>
    <xf numFmtId="0" fontId="0" fillId="0" borderId="2" xfId="0" applyFont="1" applyFill="1" applyBorder="1" applyAlignment="1">
      <alignment horizontal="left" vertical="top" wrapText="1"/>
    </xf>
    <xf numFmtId="1" fontId="0" fillId="0" borderId="2" xfId="0" applyNumberFormat="1" applyFont="1" applyFill="1" applyBorder="1" applyAlignment="1">
      <alignment horizontal="right" vertical="top"/>
    </xf>
    <xf numFmtId="2" fontId="0" fillId="0" borderId="1" xfId="0" applyNumberFormat="1" applyFont="1" applyFill="1" applyBorder="1" applyAlignment="1">
      <alignment horizontal="left" vertical="top" wrapText="1"/>
    </xf>
    <xf numFmtId="0" fontId="0" fillId="0" borderId="2" xfId="0" applyFill="1" applyBorder="1" applyAlignment="1">
      <alignment horizontal="left" vertical="top" wrapText="1"/>
    </xf>
    <xf numFmtId="1" fontId="0" fillId="0" borderId="2" xfId="0" applyNumberFormat="1" applyFill="1" applyBorder="1" applyAlignment="1">
      <alignment horizontal="right" vertical="top"/>
    </xf>
    <xf numFmtId="2" fontId="0" fillId="0" borderId="1" xfId="0" applyNumberFormat="1" applyFill="1" applyBorder="1" applyAlignment="1">
      <alignment horizontal="left" vertical="top" wrapText="1"/>
    </xf>
    <xf numFmtId="0" fontId="0" fillId="0" borderId="18" xfId="0" applyNumberFormat="1" applyFont="1" applyBorder="1" applyAlignment="1">
      <alignment horizontal="center" vertical="top"/>
    </xf>
    <xf numFmtId="0" fontId="0" fillId="0" borderId="2" xfId="0" applyFont="1" applyFill="1" applyBorder="1"/>
    <xf numFmtId="9" fontId="0" fillId="0" borderId="14" xfId="13" applyFont="1" applyFill="1" applyBorder="1"/>
    <xf numFmtId="0" fontId="8" fillId="0" borderId="2" xfId="0" applyFont="1" applyBorder="1"/>
    <xf numFmtId="0" fontId="8" fillId="0" borderId="14" xfId="0" applyFont="1" applyBorder="1"/>
    <xf numFmtId="2" fontId="0" fillId="0" borderId="14" xfId="13" applyNumberFormat="1" applyFont="1" applyBorder="1"/>
    <xf numFmtId="0" fontId="8" fillId="0" borderId="40" xfId="0" applyFont="1" applyBorder="1"/>
    <xf numFmtId="0" fontId="26" fillId="7" borderId="36" xfId="0" applyFont="1" applyFill="1" applyBorder="1"/>
    <xf numFmtId="2" fontId="30" fillId="5" borderId="36" xfId="0" applyNumberFormat="1" applyFont="1" applyFill="1" applyBorder="1"/>
    <xf numFmtId="0" fontId="8" fillId="0" borderId="36" xfId="0" applyFont="1" applyBorder="1"/>
    <xf numFmtId="0" fontId="25" fillId="0" borderId="0" xfId="10" applyFont="1" applyAlignment="1">
      <alignment horizontal="left" vertical="top" wrapText="1"/>
    </xf>
    <xf numFmtId="0" fontId="0" fillId="0" borderId="8" xfId="12" applyFont="1" applyFill="1" applyBorder="1" applyAlignment="1">
      <alignment horizontal="left" vertical="top" wrapText="1"/>
    </xf>
    <xf numFmtId="0" fontId="27" fillId="0" borderId="0" xfId="10" applyFont="1" applyAlignment="1">
      <alignment horizontal="left" vertical="top" wrapText="1"/>
    </xf>
    <xf numFmtId="0" fontId="33" fillId="10" borderId="0" xfId="5" applyFont="1" applyFill="1" applyBorder="1" applyAlignment="1">
      <alignment horizontal="left" vertical="top"/>
    </xf>
    <xf numFmtId="0" fontId="33" fillId="10" borderId="0" xfId="5" quotePrefix="1" applyFont="1" applyFill="1" applyBorder="1" applyAlignment="1">
      <alignment horizontal="left" vertical="top"/>
    </xf>
    <xf numFmtId="0" fontId="22" fillId="10" borderId="0" xfId="10" applyFont="1" applyFill="1" applyAlignment="1">
      <alignment horizontal="left" vertical="top"/>
    </xf>
    <xf numFmtId="0" fontId="32" fillId="10" borderId="0" xfId="10" applyFont="1" applyFill="1" applyAlignment="1">
      <alignment vertical="top"/>
    </xf>
    <xf numFmtId="0" fontId="0" fillId="0" borderId="0" xfId="12" applyFont="1" applyFill="1" applyBorder="1" applyAlignment="1">
      <alignment horizontal="left" vertical="top" wrapText="1"/>
    </xf>
    <xf numFmtId="0" fontId="25" fillId="0" borderId="0" xfId="10" applyFont="1" applyBorder="1" applyAlignment="1">
      <alignment horizontal="left" vertical="top" wrapText="1"/>
    </xf>
    <xf numFmtId="0" fontId="25" fillId="0" borderId="17" xfId="10" quotePrefix="1" applyFont="1" applyBorder="1" applyAlignment="1">
      <alignment horizontal="left" vertical="top" wrapText="1"/>
    </xf>
    <xf numFmtId="0" fontId="25" fillId="0" borderId="20" xfId="10" applyFont="1" applyBorder="1" applyAlignment="1">
      <alignment horizontal="left" vertical="top"/>
    </xf>
    <xf numFmtId="0" fontId="0" fillId="0" borderId="20" xfId="12" applyFont="1" applyFill="1" applyBorder="1" applyAlignment="1">
      <alignment horizontal="left" vertical="top" wrapText="1"/>
    </xf>
    <xf numFmtId="0" fontId="25" fillId="0" borderId="20" xfId="10" applyFont="1" applyBorder="1" applyAlignment="1">
      <alignment horizontal="left" vertical="top" wrapText="1"/>
    </xf>
    <xf numFmtId="0" fontId="11" fillId="0" borderId="0" xfId="5" applyFont="1" applyFill="1" applyBorder="1" applyAlignment="1">
      <alignment horizontal="left" vertical="top"/>
    </xf>
    <xf numFmtId="0" fontId="25" fillId="0" borderId="8" xfId="11" applyFont="1" applyBorder="1" applyAlignment="1">
      <alignment vertical="top" wrapText="1"/>
    </xf>
    <xf numFmtId="0" fontId="25" fillId="0" borderId="12" xfId="11" applyFont="1" applyBorder="1" applyAlignment="1">
      <alignment vertical="top" wrapText="1"/>
    </xf>
    <xf numFmtId="0" fontId="25" fillId="0" borderId="0" xfId="11" applyFont="1" applyBorder="1" applyAlignment="1">
      <alignment vertical="top" wrapText="1"/>
    </xf>
    <xf numFmtId="0" fontId="25" fillId="0" borderId="0" xfId="11" applyFont="1" applyBorder="1" applyAlignment="1">
      <alignment horizontal="left" vertical="top" wrapText="1"/>
    </xf>
    <xf numFmtId="0" fontId="13" fillId="0" borderId="0" xfId="4" quotePrefix="1" applyFont="1" applyFill="1" applyAlignment="1">
      <alignment horizontal="left" vertical="top" wrapText="1"/>
    </xf>
    <xf numFmtId="0" fontId="4" fillId="6" borderId="0" xfId="4" applyFont="1" applyFill="1" applyAlignment="1">
      <alignment horizontal="left" vertical="top" wrapText="1"/>
    </xf>
    <xf numFmtId="0" fontId="0" fillId="0" borderId="0" xfId="4" applyFont="1" applyFill="1" applyAlignment="1">
      <alignment horizontal="left" vertical="top" wrapText="1"/>
    </xf>
    <xf numFmtId="0" fontId="4" fillId="0" borderId="0" xfId="4" applyFont="1" applyFill="1" applyAlignment="1">
      <alignment horizontal="left" vertical="top" wrapText="1"/>
    </xf>
    <xf numFmtId="0" fontId="4" fillId="0" borderId="0" xfId="4" quotePrefix="1" applyFont="1" applyFill="1" applyAlignment="1">
      <alignment horizontal="left" vertical="top" wrapText="1"/>
    </xf>
    <xf numFmtId="0" fontId="6" fillId="0" borderId="0" xfId="4" applyFont="1" applyFill="1" applyAlignment="1">
      <alignment horizontal="left" vertical="top" wrapText="1"/>
    </xf>
    <xf numFmtId="0" fontId="6" fillId="0" borderId="0" xfId="4" applyFont="1" applyFill="1" applyAlignment="1">
      <alignment horizontal="center" vertical="top" wrapText="1"/>
    </xf>
    <xf numFmtId="0" fontId="6" fillId="0" borderId="0" xfId="7" applyFont="1" applyFill="1" applyAlignment="1">
      <alignment horizontal="center"/>
    </xf>
    <xf numFmtId="0" fontId="4" fillId="2" borderId="9" xfId="15" applyFont="1" applyFill="1" applyBorder="1" applyAlignment="1" applyProtection="1">
      <alignment horizontal="left" vertical="top" wrapText="1"/>
      <protection locked="0"/>
    </xf>
    <xf numFmtId="0" fontId="4" fillId="2" borderId="7" xfId="15" applyFont="1" applyFill="1" applyBorder="1" applyAlignment="1" applyProtection="1">
      <alignment horizontal="left" vertical="top" wrapText="1"/>
      <protection locked="0"/>
    </xf>
    <xf numFmtId="0" fontId="25" fillId="0" borderId="9" xfId="8" applyFont="1" applyBorder="1"/>
    <xf numFmtId="0" fontId="25" fillId="0" borderId="10" xfId="8" applyFont="1" applyBorder="1"/>
    <xf numFmtId="0" fontId="4" fillId="2" borderId="32" xfId="15" applyFont="1" applyFill="1" applyBorder="1" applyAlignment="1" applyProtection="1">
      <alignment horizontal="left" vertical="top" wrapText="1"/>
      <protection locked="0"/>
    </xf>
    <xf numFmtId="0" fontId="4" fillId="2" borderId="11" xfId="15" applyFont="1" applyFill="1" applyBorder="1" applyAlignment="1" applyProtection="1">
      <alignment horizontal="left" vertical="top" wrapText="1"/>
      <protection locked="0"/>
    </xf>
    <xf numFmtId="0" fontId="25" fillId="0" borderId="32" xfId="8" applyFont="1" applyBorder="1"/>
    <xf numFmtId="0" fontId="25" fillId="0" borderId="33" xfId="8" applyFont="1" applyBorder="1"/>
    <xf numFmtId="0" fontId="4" fillId="2" borderId="13" xfId="15" applyFont="1" applyFill="1" applyBorder="1" applyAlignment="1" applyProtection="1">
      <alignment horizontal="left" vertical="top" wrapText="1"/>
      <protection locked="0"/>
    </xf>
    <xf numFmtId="0" fontId="25" fillId="0" borderId="13" xfId="8" applyFont="1" applyBorder="1"/>
    <xf numFmtId="3" fontId="4" fillId="2" borderId="9" xfId="15" applyNumberFormat="1" applyFont="1" applyFill="1" applyBorder="1" applyAlignment="1" applyProtection="1">
      <alignment horizontal="left" vertical="top" wrapText="1"/>
      <protection locked="0"/>
    </xf>
    <xf numFmtId="0" fontId="0" fillId="0" borderId="1" xfId="14" applyFont="1" applyFill="1" applyBorder="1" applyAlignment="1" applyProtection="1">
      <alignment vertical="center"/>
      <protection hidden="1"/>
    </xf>
    <xf numFmtId="0" fontId="4" fillId="0" borderId="3" xfId="14" applyFont="1" applyFill="1" applyBorder="1" applyAlignment="1" applyProtection="1">
      <alignment vertical="center"/>
      <protection hidden="1"/>
    </xf>
    <xf numFmtId="0" fontId="0" fillId="0" borderId="1" xfId="14" applyFont="1" applyBorder="1" applyAlignment="1" applyProtection="1">
      <alignment vertical="top"/>
      <protection locked="0"/>
    </xf>
    <xf numFmtId="0" fontId="4" fillId="0" borderId="3" xfId="14" applyFont="1" applyBorder="1" applyAlignment="1" applyProtection="1">
      <alignment vertical="top"/>
      <protection locked="0"/>
    </xf>
    <xf numFmtId="0" fontId="6" fillId="4" borderId="4" xfId="14" applyFont="1" applyFill="1" applyBorder="1" applyAlignment="1" applyProtection="1">
      <alignment horizontal="center" vertical="center"/>
      <protection hidden="1"/>
    </xf>
    <xf numFmtId="0" fontId="6" fillId="4" borderId="28" xfId="14" applyFont="1" applyFill="1" applyBorder="1" applyAlignment="1" applyProtection="1">
      <alignment horizontal="center" vertical="center"/>
      <protection hidden="1"/>
    </xf>
    <xf numFmtId="0" fontId="6" fillId="4" borderId="29" xfId="14" applyFont="1" applyFill="1" applyBorder="1" applyAlignment="1" applyProtection="1">
      <alignment horizontal="center" vertical="center"/>
      <protection hidden="1"/>
    </xf>
    <xf numFmtId="0" fontId="4" fillId="2" borderId="30" xfId="15" applyFont="1" applyFill="1" applyBorder="1" applyAlignment="1" applyProtection="1">
      <alignment horizontal="left" vertical="top" wrapText="1"/>
      <protection locked="0"/>
    </xf>
    <xf numFmtId="0" fontId="4" fillId="2" borderId="5" xfId="15" applyFont="1" applyFill="1" applyBorder="1" applyAlignment="1" applyProtection="1">
      <alignment horizontal="left" vertical="top" wrapText="1"/>
      <protection locked="0"/>
    </xf>
    <xf numFmtId="0" fontId="25" fillId="0" borderId="30" xfId="8" applyFont="1" applyBorder="1"/>
    <xf numFmtId="0" fontId="25" fillId="0" borderId="31" xfId="8" applyFont="1" applyBorder="1"/>
    <xf numFmtId="0" fontId="28" fillId="11" borderId="2" xfId="2" applyFont="1" applyFill="1" applyBorder="1" applyAlignment="1">
      <alignment horizontal="center" vertical="top"/>
    </xf>
    <xf numFmtId="0" fontId="6" fillId="8" borderId="1" xfId="0" applyFont="1" applyFill="1" applyBorder="1" applyAlignment="1">
      <alignment horizontal="right" vertical="top" wrapText="1"/>
    </xf>
    <xf numFmtId="0" fontId="6" fillId="8" borderId="3" xfId="0" applyFont="1" applyFill="1" applyBorder="1" applyAlignment="1">
      <alignment horizontal="right" vertical="top" wrapText="1"/>
    </xf>
    <xf numFmtId="0" fontId="6" fillId="8" borderId="18" xfId="0" applyFont="1" applyFill="1" applyBorder="1" applyAlignment="1">
      <alignment horizontal="right" vertical="top" wrapText="1"/>
    </xf>
  </cellXfs>
  <cellStyles count="17">
    <cellStyle name="Comma" xfId="1" builtinId="3"/>
    <cellStyle name="Input" xfId="2" builtinId="20"/>
    <cellStyle name="Normal" xfId="0" builtinId="0" customBuiltin="1"/>
    <cellStyle name="Normal 2" xfId="3"/>
    <cellStyle name="Normal 2 2" xfId="4"/>
    <cellStyle name="Normal 2 3" xfId="5"/>
    <cellStyle name="Normal 3" xfId="6"/>
    <cellStyle name="Normal 3 2" xfId="7"/>
    <cellStyle name="Normal 4" xfId="8"/>
    <cellStyle name="Normal 5" xfId="9"/>
    <cellStyle name="Normal 5 2" xfId="10"/>
    <cellStyle name="Normal 6" xfId="11"/>
    <cellStyle name="Normal 7" xfId="12"/>
    <cellStyle name="Percent" xfId="13" builtinId="5"/>
    <cellStyle name="Sheet Heading" xfId="16"/>
    <cellStyle name="標準_テーブル定義書" xfId="14"/>
    <cellStyle name="標準_プログラム遷移図" xfId="15"/>
  </cellStyles>
  <dxfs count="43">
    <dxf>
      <font>
        <b val="0"/>
        <i val="0"/>
        <strike val="0"/>
        <condense val="0"/>
        <extend val="0"/>
        <outline val="0"/>
        <shadow val="0"/>
        <u val="none"/>
        <vertAlign val="baseline"/>
        <sz val="11"/>
        <color auto="1"/>
        <name val="Times New Roman"/>
        <scheme val="none"/>
      </font>
      <numFmt numFmtId="2" formatCode="0.00"/>
      <alignment horizontal="left" vertical="top" textRotation="0" wrapText="1" indent="0" relative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auto="1"/>
        <name val="Times New Roman"/>
        <scheme val="none"/>
      </font>
      <numFmt numFmtId="2" formatCode="0.00"/>
      <alignment horizontal="right" vertical="top" textRotation="0" wrapText="0" indent="0"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Times New Roman"/>
        <scheme val="none"/>
      </font>
      <alignment horizontal="left" vertical="top" textRotation="0" wrapText="1" inden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Times New Roman"/>
        <scheme val="none"/>
      </font>
      <numFmt numFmtId="0" formatCode="General"/>
      <alignment horizontal="general" vertical="top" textRotation="0" wrapText="0" indent="0"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Times New Roman"/>
        <scheme val="none"/>
      </font>
      <fill>
        <patternFill patternType="solid">
          <fgColor indexed="64"/>
          <bgColor theme="4" tint="-0.249977111117893"/>
        </patternFill>
      </fill>
      <alignment horizontal="center" vertical="top" textRotation="0" wrapText="1" indent="0" relativeIndent="255" justifyLastLine="0" shrinkToFit="0" readingOrder="0"/>
      <border diagonalUp="0" diagonalDown="0" outline="0">
        <left style="thin">
          <color indexed="64"/>
        </left>
        <right style="thin">
          <color indexed="64"/>
        </right>
        <top/>
        <bottom/>
      </border>
    </dxf>
    <dxf>
      <fill>
        <patternFill>
          <bgColor rgb="FFFFFFA7"/>
        </patternFill>
      </fill>
    </dxf>
    <dxf>
      <fill>
        <patternFill>
          <bgColor theme="5" tint="0.79998168889431442"/>
        </patternFill>
      </fill>
    </dxf>
    <dxf>
      <font>
        <b val="0"/>
        <i val="0"/>
        <strike val="0"/>
        <condense val="0"/>
        <extend val="0"/>
        <outline val="0"/>
        <shadow val="0"/>
        <u val="none"/>
        <vertAlign val="baseline"/>
        <sz val="11"/>
        <color auto="1"/>
        <name val="Times New Roman"/>
        <scheme val="none"/>
      </font>
      <alignment horizontal="left" vertical="top" textRotation="0" wrapText="1" indent="0" relativeIndent="0" justifyLastLine="0" shrinkToFit="0" mergeCell="0" readingOrder="0"/>
      <border diagonalUp="0" diagonalDown="0" outline="0">
        <left/>
        <right style="thin">
          <color indexed="64"/>
        </right>
        <top style="thin">
          <color indexed="64"/>
        </top>
        <bottom/>
      </border>
    </dxf>
    <dxf>
      <font>
        <strike val="0"/>
        <outline val="0"/>
        <shadow val="0"/>
        <u val="none"/>
        <vertAlign val="baseline"/>
        <sz val="11"/>
        <color auto="1"/>
        <name val="Times New Roman"/>
        <scheme val="none"/>
      </font>
      <fill>
        <patternFill patternType="none">
          <fgColor indexed="64"/>
          <bgColor indexed="65"/>
        </patternFill>
      </fill>
      <alignment horizontal="left" vertical="top" textRotation="0" wrapText="1" indent="0" relativeIndent="255" justifyLastLine="0" shrinkToFit="0" readingOrder="0"/>
      <border diagonalUp="0" diagonalDown="0" outline="0">
        <left style="hair">
          <color indexed="64"/>
        </left>
        <right style="thin">
          <color indexed="64"/>
        </right>
        <top style="hair">
          <color indexed="64"/>
        </top>
        <bottom style="hair">
          <color indexed="64"/>
        </bottom>
      </border>
    </dxf>
    <dxf>
      <font>
        <b val="0"/>
        <i val="0"/>
        <strike val="0"/>
        <condense val="0"/>
        <extend val="0"/>
        <outline val="0"/>
        <shadow val="0"/>
        <u val="none"/>
        <vertAlign val="baseline"/>
        <sz val="11"/>
        <color auto="1"/>
        <name val="Times New Roman"/>
        <scheme val="none"/>
      </font>
      <numFmt numFmtId="165" formatCode="0.0%"/>
      <alignment horizontal="right" vertical="top" textRotation="0" wrapText="0" indent="0" relativeIndent="0" justifyLastLine="0" shrinkToFit="0" mergeCell="0" readingOrder="0"/>
      <border diagonalUp="0" diagonalDown="0" outline="0">
        <left style="thin">
          <color indexed="64"/>
        </left>
        <right style="thin">
          <color indexed="64"/>
        </right>
        <top style="thin">
          <color auto="1"/>
        </top>
        <bottom style="thin">
          <color auto="1"/>
        </bottom>
      </border>
    </dxf>
    <dxf>
      <font>
        <strike val="0"/>
        <outline val="0"/>
        <shadow val="0"/>
        <u val="none"/>
        <vertAlign val="baseline"/>
        <sz val="11"/>
        <color auto="1"/>
        <name val="Times New Roman"/>
        <scheme val="none"/>
      </font>
      <fill>
        <patternFill patternType="none">
          <fgColor indexed="64"/>
          <bgColor indexed="65"/>
        </patternFill>
      </fill>
      <alignment horizontal="right" vertical="top" textRotation="0" wrapText="0" indent="0" relativeIndent="255" justifyLastLine="0" shrinkToFit="0" readingOrder="0"/>
      <border diagonalUp="0" diagonalDown="0" outline="0">
        <left style="thin">
          <color indexed="64"/>
        </left>
        <right style="thin">
          <color indexed="64"/>
        </right>
        <top style="thin">
          <color auto="1"/>
        </top>
        <bottom style="thin">
          <color auto="1"/>
        </bottom>
      </border>
    </dxf>
    <dxf>
      <alignment horizontal="left" vertical="top" textRotation="0" wrapText="1" indent="0" relativeIndent="0" justifyLastLine="0" shrinkToFit="0" mergeCell="0" readingOrder="0"/>
      <border diagonalUp="0" diagonalDown="0" outline="0">
        <left/>
        <right/>
        <top style="thin">
          <color indexed="64"/>
        </top>
        <bottom/>
      </border>
    </dxf>
    <dxf>
      <font>
        <strike val="0"/>
        <outline val="0"/>
        <shadow val="0"/>
        <u val="none"/>
        <vertAlign val="baseline"/>
        <sz val="11"/>
        <color auto="1"/>
        <name val="Times New Roman"/>
        <scheme val="none"/>
      </font>
      <fill>
        <patternFill patternType="none">
          <fgColor indexed="64"/>
          <bgColor indexed="65"/>
        </patternFill>
      </fill>
      <alignment horizontal="left" vertical="top" textRotation="0" wrapText="1" indent="0" relativeIndent="255" justifyLastLine="0" shrinkToFit="0" readingOrder="0"/>
      <border diagonalUp="0" diagonalDown="0" outline="0">
        <left style="thin">
          <color indexed="64"/>
        </left>
        <right style="hair">
          <color indexed="64"/>
        </right>
        <top style="hair">
          <color indexed="64"/>
        </top>
        <bottom style="hair">
          <color indexed="64"/>
        </bottom>
      </border>
    </dxf>
    <dxf>
      <font>
        <b val="0"/>
        <i val="0"/>
        <strike val="0"/>
        <condense val="0"/>
        <extend val="0"/>
        <outline val="0"/>
        <shadow val="0"/>
        <u val="none"/>
        <vertAlign val="baseline"/>
        <sz val="11"/>
        <color auto="1"/>
        <name val="Times New Roman"/>
        <scheme val="none"/>
      </font>
      <numFmt numFmtId="0" formatCode="General"/>
      <alignment horizontal="general" vertical="top" textRotation="0" wrapText="0" indent="0" relativeIndent="0" justifyLastLine="0" shrinkToFit="0" mergeCell="0" readingOrder="0"/>
      <border diagonalUp="0" diagonalDown="0" outline="0">
        <left style="thin">
          <color indexed="64"/>
        </left>
        <right style="thin">
          <color indexed="64"/>
        </right>
        <top style="thin">
          <color auto="1"/>
        </top>
        <bottom style="thin">
          <color auto="1"/>
        </bottom>
      </border>
    </dxf>
    <dxf>
      <font>
        <strike val="0"/>
        <outline val="0"/>
        <shadow val="0"/>
        <u val="none"/>
        <vertAlign val="baseline"/>
        <sz val="11"/>
        <color auto="1"/>
        <name val="Times New Roman"/>
        <scheme val="none"/>
      </font>
      <numFmt numFmtId="0" formatCode="General"/>
      <fill>
        <patternFill patternType="none">
          <fgColor indexed="64"/>
          <bgColor indexed="65"/>
        </patternFill>
      </fill>
      <alignment horizontal="center" vertical="top" textRotation="0" wrapText="0" indent="0" relativeIndent="255" justifyLastLine="0" shrinkToFit="0" readingOrder="0"/>
      <border diagonalUp="0" diagonalDown="0" outline="0">
        <left style="thin">
          <color indexed="64"/>
        </left>
        <right style="thin">
          <color indexed="64"/>
        </right>
        <top style="thin">
          <color auto="1"/>
        </top>
        <bottom style="thin">
          <color auto="1"/>
        </bottom>
      </border>
    </dxf>
    <dxf>
      <border>
        <top style="thin">
          <color rgb="FF000000"/>
        </top>
      </border>
    </dxf>
    <dxf>
      <font>
        <strike val="0"/>
        <outline val="0"/>
        <shadow val="0"/>
        <u val="none"/>
        <vertAlign val="baseline"/>
        <sz val="11"/>
        <color auto="1"/>
        <name val="Times New Roman"/>
        <scheme val="none"/>
      </font>
      <fill>
        <patternFill>
          <fgColor indexed="64"/>
        </patternFill>
      </fill>
      <alignment vertical="top" textRotation="0" indent="0" relativeIndent="255" justifyLastLine="0" shrinkToFit="0" readingOrder="0"/>
      <border diagonalUp="0" diagonalDown="0" outline="0"/>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11"/>
        <color auto="1"/>
        <name val="Times New Roman"/>
        <scheme val="none"/>
      </font>
      <fill>
        <patternFill patternType="none">
          <fgColor indexed="64"/>
          <bgColor indexed="65"/>
        </patternFill>
      </fill>
      <alignment vertical="top" textRotation="0" indent="0" relativeIndent="255" justifyLastLine="0" shrinkToFit="0" readingOrder="0"/>
      <border diagonalUp="0" diagonalDown="0" outline="0"/>
    </dxf>
    <dxf>
      <border outline="0">
        <bottom style="thin">
          <color rgb="FF000000"/>
        </bottom>
      </border>
    </dxf>
    <dxf>
      <font>
        <strike val="0"/>
        <outline val="0"/>
        <shadow val="0"/>
        <u val="none"/>
        <vertAlign val="baseline"/>
        <sz val="11"/>
        <color auto="1"/>
        <name val="Times New Roman"/>
        <scheme val="none"/>
      </font>
      <fill>
        <patternFill patternType="solid">
          <fgColor indexed="64"/>
          <bgColor theme="4" tint="-0.249977111117893"/>
        </patternFill>
      </fill>
      <alignment horizontal="center" vertical="top" textRotation="0" wrapText="0" indent="0" relativeIndent="255" justifyLastLine="0" shrinkToFit="0" readingOrder="0"/>
      <border diagonalUp="0" diagonalDown="0" outline="0">
        <left style="thin">
          <color indexed="64"/>
        </left>
        <right style="thin">
          <color indexed="64"/>
        </right>
        <top/>
        <bottom/>
      </border>
    </dxf>
    <dxf>
      <fill>
        <patternFill>
          <bgColor rgb="FFF4F28E"/>
        </patternFill>
      </fill>
    </dxf>
    <dxf>
      <fill>
        <patternFill>
          <bgColor theme="5" tint="0.79998168889431442"/>
        </patternFill>
      </fill>
    </dxf>
    <dxf>
      <fill>
        <patternFill>
          <bgColor rgb="FFFFFFA3"/>
        </patternFill>
      </fill>
    </dxf>
    <dxf>
      <fill>
        <patternFill>
          <bgColor rgb="FFFAEE94"/>
        </patternFill>
      </fill>
    </dxf>
    <dxf>
      <fill>
        <patternFill>
          <bgColor theme="5"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F"/>
        </patternFill>
      </fill>
    </dxf>
    <dxf>
      <fill>
        <patternFill>
          <bgColor rgb="FFFFFFB3"/>
        </patternFill>
      </fill>
    </dxf>
    <dxf>
      <fill>
        <patternFill>
          <bgColor rgb="FFFFFFA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B3"/>
      <color rgb="FFFFFFA3"/>
      <color rgb="FFFFFF7D"/>
      <color rgb="FFFFFF9F"/>
      <color rgb="FFFFFF99"/>
      <color rgb="FFFFFFA7"/>
      <color rgb="FFF4F28E"/>
      <color rgb="FFFAEE94"/>
      <color rgb="FFF7E457"/>
      <color rgb="FFFFFF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57150</xdr:rowOff>
    </xdr:from>
    <xdr:to>
      <xdr:col>1</xdr:col>
      <xdr:colOff>171450</xdr:colOff>
      <xdr:row>2</xdr:row>
      <xdr:rowOff>171450</xdr:rowOff>
    </xdr:to>
    <xdr:pic>
      <xdr:nvPicPr>
        <xdr:cNvPr id="4111" name="Picture 1" descr="logo+Luvina"/>
        <xdr:cNvPicPr>
          <a:picLocks noChangeAspect="1" noChangeArrowheads="1"/>
        </xdr:cNvPicPr>
      </xdr:nvPicPr>
      <xdr:blipFill>
        <a:blip xmlns:r="http://schemas.openxmlformats.org/officeDocument/2006/relationships" r:embed="rId1"/>
        <a:srcRect/>
        <a:stretch>
          <a:fillRect/>
        </a:stretch>
      </xdr:blipFill>
      <xdr:spPr bwMode="auto">
        <a:xfrm>
          <a:off x="0" y="57150"/>
          <a:ext cx="781050" cy="5619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0</xdr:row>
      <xdr:rowOff>85725</xdr:rowOff>
    </xdr:from>
    <xdr:to>
      <xdr:col>1</xdr:col>
      <xdr:colOff>571500</xdr:colOff>
      <xdr:row>3</xdr:row>
      <xdr:rowOff>161925</xdr:rowOff>
    </xdr:to>
    <xdr:pic>
      <xdr:nvPicPr>
        <xdr:cNvPr id="5191" name="Picture 1" descr="logo+Luvina"/>
        <xdr:cNvPicPr>
          <a:picLocks noChangeAspect="1" noChangeArrowheads="1"/>
        </xdr:cNvPicPr>
      </xdr:nvPicPr>
      <xdr:blipFill>
        <a:blip xmlns:r="http://schemas.openxmlformats.org/officeDocument/2006/relationships" r:embed="rId1"/>
        <a:srcRect/>
        <a:stretch>
          <a:fillRect/>
        </a:stretch>
      </xdr:blipFill>
      <xdr:spPr bwMode="auto">
        <a:xfrm>
          <a:off x="123825" y="85725"/>
          <a:ext cx="1057275" cy="647700"/>
        </a:xfrm>
        <a:prstGeom prst="rect">
          <a:avLst/>
        </a:prstGeom>
        <a:noFill/>
        <a:ln w="9525">
          <a:noFill/>
          <a:miter lim="800000"/>
          <a:headEnd/>
          <a:tailEnd/>
        </a:ln>
      </xdr:spPr>
    </xdr:pic>
    <xdr:clientData/>
  </xdr:twoCellAnchor>
  <xdr:twoCellAnchor>
    <xdr:from>
      <xdr:col>0</xdr:col>
      <xdr:colOff>561975</xdr:colOff>
      <xdr:row>13</xdr:row>
      <xdr:rowOff>0</xdr:rowOff>
    </xdr:from>
    <xdr:to>
      <xdr:col>8</xdr:col>
      <xdr:colOff>504825</xdr:colOff>
      <xdr:row>13</xdr:row>
      <xdr:rowOff>152400</xdr:rowOff>
    </xdr:to>
    <xdr:grpSp>
      <xdr:nvGrpSpPr>
        <xdr:cNvPr id="5192" name="Group 2"/>
        <xdr:cNvGrpSpPr>
          <a:grpSpLocks/>
        </xdr:cNvGrpSpPr>
      </xdr:nvGrpSpPr>
      <xdr:grpSpPr bwMode="auto">
        <a:xfrm>
          <a:off x="590931" y="2447544"/>
          <a:ext cx="5072634" cy="141732"/>
          <a:chOff x="3557" y="6734"/>
          <a:chExt cx="8760" cy="237"/>
        </a:xfrm>
      </xdr:grpSpPr>
      <xdr:sp macro="" textlink="">
        <xdr:nvSpPr>
          <xdr:cNvPr id="5193" name="Line 3"/>
          <xdr:cNvSpPr>
            <a:spLocks noChangeShapeType="1"/>
          </xdr:cNvSpPr>
        </xdr:nvSpPr>
        <xdr:spPr bwMode="auto">
          <a:xfrm>
            <a:off x="3557" y="6734"/>
            <a:ext cx="8759" cy="1"/>
          </a:xfrm>
          <a:prstGeom prst="line">
            <a:avLst/>
          </a:prstGeom>
          <a:noFill/>
          <a:ln w="76200">
            <a:solidFill>
              <a:srgbClr val="000080"/>
            </a:solidFill>
            <a:round/>
            <a:headEnd/>
            <a:tailEnd/>
          </a:ln>
        </xdr:spPr>
      </xdr:sp>
      <xdr:sp macro="" textlink="">
        <xdr:nvSpPr>
          <xdr:cNvPr id="5194" name="Line 4"/>
          <xdr:cNvSpPr>
            <a:spLocks noChangeShapeType="1"/>
          </xdr:cNvSpPr>
        </xdr:nvSpPr>
        <xdr:spPr bwMode="auto">
          <a:xfrm>
            <a:off x="3557" y="6850"/>
            <a:ext cx="8759" cy="1"/>
          </a:xfrm>
          <a:prstGeom prst="line">
            <a:avLst/>
          </a:prstGeom>
          <a:noFill/>
          <a:ln w="76200">
            <a:solidFill>
              <a:srgbClr val="0000FF"/>
            </a:solidFill>
            <a:round/>
            <a:headEnd/>
            <a:tailEnd/>
          </a:ln>
        </xdr:spPr>
      </xdr:sp>
      <xdr:sp macro="" textlink="">
        <xdr:nvSpPr>
          <xdr:cNvPr id="5195" name="Line 5"/>
          <xdr:cNvSpPr>
            <a:spLocks noChangeShapeType="1"/>
          </xdr:cNvSpPr>
        </xdr:nvSpPr>
        <xdr:spPr bwMode="auto">
          <a:xfrm>
            <a:off x="3557" y="6970"/>
            <a:ext cx="8760" cy="1"/>
          </a:xfrm>
          <a:prstGeom prst="line">
            <a:avLst/>
          </a:prstGeom>
          <a:noFill/>
          <a:ln w="76200">
            <a:solidFill>
              <a:srgbClr val="0099FF"/>
            </a:solidFill>
            <a:round/>
            <a:headEnd/>
            <a:tailEnd/>
          </a:ln>
        </xdr:spPr>
      </xdr:sp>
    </xdr:grpSp>
    <xdr:clientData/>
  </xdr:twoCellAnchor>
</xdr:wsDr>
</file>

<file path=xl/tables/table1.xml><?xml version="1.0" encoding="utf-8"?>
<table xmlns="http://schemas.openxmlformats.org/spreadsheetml/2006/main" id="6" name="Table47" displayName="Table47" ref="A3:D14" totalsRowCount="1" headerRowDxfId="23" dataDxfId="21" totalsRowDxfId="19" headerRowBorderDxfId="22" tableBorderDxfId="20" totalsRowBorderDxfId="18">
  <autoFilter ref="A3:D13"/>
  <tableColumns count="4">
    <tableColumn id="1" name="STT" dataDxfId="17" totalsRowDxfId="16">
      <calculatedColumnFormula>ROW()-ROW($A$3)</calculatedColumnFormula>
    </tableColumn>
    <tableColumn id="2" name="Nội dung yêu cầu" totalsRowLabel="Non-Fuctional Size" dataDxfId="15" totalsRowDxfId="14"/>
    <tableColumn id="3" name="Giá trị" totalsRowFunction="custom" dataDxfId="13" totalsRowDxfId="12" dataCellStyle="Percent">
      <totalsRowFormula>SUM(C4:C13)</totalsRowFormula>
    </tableColumn>
    <tableColumn id="5" name="Giải thích giá trị" dataDxfId="11" totalsRowDxfId="10"/>
  </tableColumns>
  <tableStyleInfo name="TableStyleMedium2" showFirstColumn="0" showLastColumn="0" showRowStripes="1" showColumnStripes="0"/>
</table>
</file>

<file path=xl/tables/table2.xml><?xml version="1.0" encoding="utf-8"?>
<table xmlns="http://schemas.openxmlformats.org/spreadsheetml/2006/main" id="55" name="Table55" displayName="Table55" ref="A4:D15" totalsRowShown="0" headerRowDxfId="7" headerRowBorderDxfId="6" tableBorderDxfId="5" totalsRowBorderDxfId="4">
  <autoFilter ref="A4:D15"/>
  <tableColumns count="4">
    <tableColumn id="1" name="STT" dataDxfId="3"/>
    <tableColumn id="2" name="Tên công việc" dataDxfId="2"/>
    <tableColumn id="3" name="Công số&#10;(md)" dataDxfId="1"/>
    <tableColumn id="4" name="Mô tả công việc"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dimension ref="A2:K44"/>
  <sheetViews>
    <sheetView tabSelected="1" view="pageBreakPreview" topLeftCell="A25" zoomScaleSheetLayoutView="100" workbookViewId="0">
      <selection activeCell="K37" sqref="K37"/>
    </sheetView>
  </sheetViews>
  <sheetFormatPr defaultRowHeight="15"/>
  <cols>
    <col min="1" max="16384" width="9.140625" style="1"/>
  </cols>
  <sheetData>
    <row r="2" spans="1:11" ht="20.25">
      <c r="B2" s="2"/>
      <c r="C2" s="63" t="s">
        <v>43</v>
      </c>
    </row>
    <row r="3" spans="1:11" ht="20.25">
      <c r="B3" s="2"/>
    </row>
    <row r="6" spans="1:11">
      <c r="A6" s="207" t="s">
        <v>44</v>
      </c>
      <c r="B6" s="207"/>
      <c r="C6" s="207"/>
      <c r="D6" s="207"/>
      <c r="E6" s="207"/>
      <c r="F6" s="207"/>
      <c r="G6" s="207"/>
      <c r="H6" s="207"/>
      <c r="I6" s="207"/>
    </row>
    <row r="7" spans="1:11">
      <c r="A7" s="208"/>
      <c r="B7" s="208"/>
      <c r="C7" s="208"/>
      <c r="D7" s="208"/>
      <c r="E7" s="208"/>
      <c r="F7" s="208"/>
      <c r="G7" s="208"/>
      <c r="H7" s="208"/>
      <c r="I7" s="208"/>
      <c r="J7" s="3"/>
    </row>
    <row r="8" spans="1:11">
      <c r="A8" s="206" t="s">
        <v>8</v>
      </c>
      <c r="B8" s="205"/>
      <c r="C8" s="205"/>
      <c r="D8" s="205"/>
      <c r="E8" s="205"/>
      <c r="F8" s="205"/>
      <c r="G8" s="205"/>
      <c r="H8" s="205"/>
      <c r="I8" s="205"/>
      <c r="J8" s="3"/>
    </row>
    <row r="9" spans="1:11" ht="15" customHeight="1">
      <c r="A9" s="6" t="s">
        <v>9</v>
      </c>
      <c r="B9" s="111" t="s">
        <v>118</v>
      </c>
      <c r="C9" s="64"/>
      <c r="D9" s="64"/>
      <c r="E9" s="64"/>
      <c r="F9" s="64"/>
      <c r="G9" s="64"/>
      <c r="H9" s="64"/>
      <c r="I9" s="64"/>
      <c r="J9" s="3"/>
    </row>
    <row r="10" spans="1:11">
      <c r="A10" s="4"/>
      <c r="B10" s="7"/>
      <c r="C10" s="5"/>
      <c r="D10" s="5"/>
      <c r="E10" s="5"/>
      <c r="F10" s="5"/>
      <c r="G10" s="5"/>
      <c r="H10" s="5"/>
      <c r="I10" s="5"/>
      <c r="J10" s="3"/>
    </row>
    <row r="11" spans="1:11">
      <c r="A11" s="206" t="s">
        <v>10</v>
      </c>
      <c r="B11" s="205"/>
      <c r="C11" s="205"/>
      <c r="D11" s="205"/>
      <c r="E11" s="205"/>
      <c r="F11" s="205"/>
      <c r="G11" s="205"/>
      <c r="H11" s="205"/>
      <c r="I11" s="205"/>
      <c r="J11" s="3"/>
    </row>
    <row r="12" spans="1:11">
      <c r="A12" s="6" t="s">
        <v>9</v>
      </c>
      <c r="B12" s="204" t="s">
        <v>77</v>
      </c>
      <c r="C12" s="205"/>
      <c r="D12" s="205"/>
      <c r="E12" s="205"/>
      <c r="F12" s="205"/>
      <c r="G12" s="205"/>
      <c r="H12" s="205"/>
      <c r="I12" s="205"/>
      <c r="J12" s="3"/>
    </row>
    <row r="13" spans="1:11">
      <c r="A13" s="4"/>
      <c r="B13" s="7"/>
      <c r="C13" s="5"/>
      <c r="D13" s="5"/>
      <c r="E13" s="5"/>
      <c r="F13" s="5"/>
      <c r="G13" s="5"/>
      <c r="H13" s="5"/>
      <c r="I13" s="5"/>
      <c r="J13" s="3"/>
    </row>
    <row r="14" spans="1:11">
      <c r="A14" s="206" t="s">
        <v>47</v>
      </c>
      <c r="B14" s="205"/>
      <c r="C14" s="205"/>
      <c r="D14" s="205"/>
      <c r="E14" s="205"/>
      <c r="F14" s="205"/>
      <c r="G14" s="205"/>
      <c r="H14" s="205"/>
      <c r="I14" s="205"/>
      <c r="J14" s="3"/>
    </row>
    <row r="15" spans="1:11">
      <c r="A15" s="8" t="s">
        <v>9</v>
      </c>
      <c r="B15" s="203" t="s">
        <v>78</v>
      </c>
      <c r="C15" s="203"/>
      <c r="D15" s="203"/>
      <c r="E15" s="203"/>
      <c r="F15" s="203"/>
      <c r="G15" s="203"/>
      <c r="H15" s="203"/>
      <c r="I15" s="203"/>
      <c r="J15" s="203"/>
      <c r="K15" s="203"/>
    </row>
    <row r="16" spans="1:11" ht="15" customHeight="1">
      <c r="A16" s="8" t="s">
        <v>9</v>
      </c>
      <c r="B16" s="203" t="s">
        <v>46</v>
      </c>
      <c r="C16" s="203"/>
      <c r="D16" s="203"/>
      <c r="E16" s="203"/>
      <c r="F16" s="203"/>
      <c r="G16" s="203"/>
      <c r="H16" s="203"/>
      <c r="I16" s="203"/>
      <c r="J16" s="203"/>
      <c r="K16" s="203"/>
    </row>
    <row r="17" spans="1:11" ht="19.5" customHeight="1">
      <c r="A17" s="8" t="s">
        <v>9</v>
      </c>
      <c r="B17" s="203" t="s">
        <v>79</v>
      </c>
      <c r="C17" s="203"/>
      <c r="D17" s="203"/>
      <c r="E17" s="203"/>
      <c r="F17" s="203"/>
      <c r="G17" s="203"/>
      <c r="H17" s="203"/>
      <c r="I17" s="203"/>
      <c r="J17" s="203"/>
      <c r="K17" s="203"/>
    </row>
    <row r="18" spans="1:11" ht="33" customHeight="1">
      <c r="A18" s="8" t="s">
        <v>9</v>
      </c>
      <c r="B18" s="203" t="s">
        <v>119</v>
      </c>
      <c r="C18" s="203"/>
      <c r="D18" s="203"/>
      <c r="E18" s="203"/>
      <c r="F18" s="203"/>
      <c r="G18" s="203"/>
      <c r="H18" s="203"/>
      <c r="I18" s="203"/>
      <c r="J18" s="203"/>
      <c r="K18" s="203"/>
    </row>
    <row r="19" spans="1:11" ht="35.25" customHeight="1">
      <c r="A19" s="8" t="s">
        <v>9</v>
      </c>
      <c r="B19" s="203" t="s">
        <v>120</v>
      </c>
      <c r="C19" s="203"/>
      <c r="D19" s="203"/>
      <c r="E19" s="203"/>
      <c r="F19" s="203"/>
      <c r="G19" s="203"/>
      <c r="H19" s="203"/>
      <c r="I19" s="203"/>
      <c r="J19" s="203"/>
      <c r="K19" s="203"/>
    </row>
    <row r="20" spans="1:11" ht="35.25" customHeight="1">
      <c r="A20" s="8" t="s">
        <v>9</v>
      </c>
      <c r="B20" s="203" t="s">
        <v>121</v>
      </c>
      <c r="C20" s="203"/>
      <c r="D20" s="203"/>
      <c r="E20" s="203"/>
      <c r="F20" s="203"/>
      <c r="G20" s="203"/>
      <c r="H20" s="203"/>
      <c r="I20" s="203"/>
      <c r="J20" s="203"/>
      <c r="K20" s="203"/>
    </row>
    <row r="21" spans="1:11" ht="38.25" customHeight="1">
      <c r="A21" s="8" t="s">
        <v>9</v>
      </c>
      <c r="B21" s="203" t="s">
        <v>122</v>
      </c>
      <c r="C21" s="203"/>
      <c r="D21" s="203"/>
      <c r="E21" s="203"/>
      <c r="F21" s="203"/>
      <c r="G21" s="203"/>
      <c r="H21" s="203"/>
      <c r="I21" s="203"/>
      <c r="J21" s="203"/>
      <c r="K21" s="203"/>
    </row>
    <row r="22" spans="1:11" ht="38.25" customHeight="1">
      <c r="A22" s="8" t="s">
        <v>9</v>
      </c>
      <c r="B22" s="203" t="s">
        <v>123</v>
      </c>
      <c r="C22" s="203"/>
      <c r="D22" s="203"/>
      <c r="E22" s="203"/>
      <c r="F22" s="203"/>
      <c r="G22" s="203"/>
      <c r="H22" s="203"/>
      <c r="I22" s="203"/>
      <c r="J22" s="203"/>
      <c r="K22" s="203"/>
    </row>
    <row r="23" spans="1:11" ht="35.25" customHeight="1">
      <c r="A23" s="8" t="s">
        <v>9</v>
      </c>
      <c r="B23" s="203" t="s">
        <v>124</v>
      </c>
      <c r="C23" s="203"/>
      <c r="D23" s="203"/>
      <c r="E23" s="203"/>
      <c r="F23" s="203"/>
      <c r="G23" s="203"/>
      <c r="H23" s="203"/>
      <c r="I23" s="203"/>
      <c r="J23" s="203"/>
      <c r="K23" s="203"/>
    </row>
    <row r="24" spans="1:11" ht="35.25" customHeight="1">
      <c r="A24" s="8" t="s">
        <v>9</v>
      </c>
      <c r="B24" s="203" t="s">
        <v>125</v>
      </c>
      <c r="C24" s="203"/>
      <c r="D24" s="203"/>
      <c r="E24" s="203"/>
      <c r="F24" s="203"/>
      <c r="G24" s="203"/>
      <c r="H24" s="203"/>
      <c r="I24" s="203"/>
      <c r="J24" s="203"/>
      <c r="K24" s="203"/>
    </row>
    <row r="25" spans="1:11" ht="44.25" customHeight="1">
      <c r="A25" s="8" t="s">
        <v>9</v>
      </c>
      <c r="B25" s="204" t="s">
        <v>126</v>
      </c>
      <c r="C25" s="205"/>
      <c r="D25" s="205"/>
      <c r="E25" s="205"/>
      <c r="F25" s="205"/>
      <c r="G25" s="205"/>
      <c r="H25" s="205"/>
      <c r="I25" s="205"/>
      <c r="J25" s="205"/>
      <c r="K25" s="205"/>
    </row>
    <row r="26" spans="1:11">
      <c r="A26" s="8"/>
      <c r="B26" s="105"/>
      <c r="C26" s="105"/>
      <c r="D26" s="105"/>
      <c r="E26" s="105"/>
      <c r="F26" s="105"/>
      <c r="G26" s="105"/>
      <c r="H26" s="105"/>
      <c r="I26" s="105"/>
      <c r="J26" s="3"/>
    </row>
    <row r="27" spans="1:11" ht="35.25" customHeight="1">
      <c r="A27" s="202" t="s">
        <v>127</v>
      </c>
      <c r="B27" s="202"/>
      <c r="C27" s="202"/>
      <c r="D27" s="202"/>
      <c r="E27" s="202"/>
      <c r="F27" s="202"/>
      <c r="G27" s="202"/>
      <c r="H27" s="202"/>
      <c r="I27" s="202"/>
      <c r="J27" s="202"/>
      <c r="K27" s="202"/>
    </row>
    <row r="28" spans="1:11" ht="49.5" customHeight="1">
      <c r="A28" s="202" t="s">
        <v>128</v>
      </c>
      <c r="B28" s="202"/>
      <c r="C28" s="202"/>
      <c r="D28" s="202"/>
      <c r="E28" s="202"/>
      <c r="F28" s="202"/>
      <c r="G28" s="202"/>
      <c r="H28" s="202"/>
      <c r="I28" s="202"/>
      <c r="J28" s="202"/>
      <c r="K28" s="202"/>
    </row>
    <row r="29" spans="1:11" ht="51" customHeight="1">
      <c r="A29" s="202" t="s">
        <v>45</v>
      </c>
      <c r="B29" s="202"/>
      <c r="C29" s="202"/>
      <c r="D29" s="202"/>
      <c r="E29" s="202"/>
      <c r="F29" s="202"/>
      <c r="G29" s="202"/>
      <c r="H29" s="202"/>
      <c r="I29" s="202"/>
      <c r="J29" s="202"/>
      <c r="K29" s="202"/>
    </row>
    <row r="31" spans="1:11" ht="15.75">
      <c r="K31" s="65" t="s">
        <v>11</v>
      </c>
    </row>
    <row r="32" spans="1:11" ht="15.75">
      <c r="K32" s="66"/>
    </row>
    <row r="33" spans="11:11" ht="15.75">
      <c r="K33" s="66"/>
    </row>
    <row r="34" spans="11:11" ht="15.75">
      <c r="K34" s="66"/>
    </row>
    <row r="35" spans="11:11" ht="15.75">
      <c r="K35" s="66"/>
    </row>
    <row r="36" spans="11:11" ht="15.75">
      <c r="K36" s="65" t="s">
        <v>196</v>
      </c>
    </row>
    <row r="37" spans="11:11" ht="15.75">
      <c r="K37" s="66"/>
    </row>
    <row r="38" spans="11:11" ht="15.75">
      <c r="K38" s="65" t="s">
        <v>13</v>
      </c>
    </row>
    <row r="39" spans="11:11" ht="15.75">
      <c r="K39" s="66"/>
    </row>
    <row r="40" spans="11:11" ht="15.75">
      <c r="K40" s="66"/>
    </row>
    <row r="41" spans="11:11" ht="15.75">
      <c r="K41" s="66"/>
    </row>
    <row r="42" spans="11:11" ht="15.75">
      <c r="K42" s="66"/>
    </row>
    <row r="43" spans="11:11" ht="15.75">
      <c r="K43" s="65" t="s">
        <v>129</v>
      </c>
    </row>
    <row r="44" spans="11:11" ht="15.75">
      <c r="K44" s="65" t="s">
        <v>117</v>
      </c>
    </row>
  </sheetData>
  <mergeCells count="20">
    <mergeCell ref="A14:I14"/>
    <mergeCell ref="B15:K15"/>
    <mergeCell ref="B16:K16"/>
    <mergeCell ref="A6:I6"/>
    <mergeCell ref="A7:I7"/>
    <mergeCell ref="A8:I8"/>
    <mergeCell ref="A11:I11"/>
    <mergeCell ref="B12:I12"/>
    <mergeCell ref="A27:K27"/>
    <mergeCell ref="B17:K17"/>
    <mergeCell ref="B18:K18"/>
    <mergeCell ref="A28:K28"/>
    <mergeCell ref="A29:K29"/>
    <mergeCell ref="B21:K21"/>
    <mergeCell ref="B23:K23"/>
    <mergeCell ref="B24:K24"/>
    <mergeCell ref="B25:K25"/>
    <mergeCell ref="B22:K22"/>
    <mergeCell ref="B20:K20"/>
    <mergeCell ref="B19:K19"/>
  </mergeCells>
  <printOptions horizontalCentered="1"/>
  <pageMargins left="0.78740157480314965" right="0.78740157480314965" top="0.78740157480314965" bottom="0.78740157480314965" header="0.39370078740157483" footer="0.39370078740157483"/>
  <pageSetup paperSize="9" scale="80" orientation="portrait" r:id="rId1"/>
  <headerFooter>
    <oddHeader>&amp;R&amp;F - &amp;A</oddHeader>
    <oddFooter>&amp;L&amp;9CMMI-PP-FM-01.02 0.20Ngày hiệu lực: 19/10/2012&amp;C&amp;"Times New Roman,Bold"Internal Use Only</oddFooter>
  </headerFooter>
  <drawing r:id="rId2"/>
</worksheet>
</file>

<file path=xl/worksheets/sheet2.xml><?xml version="1.0" encoding="utf-8"?>
<worksheet xmlns="http://schemas.openxmlformats.org/spreadsheetml/2006/main" xmlns:r="http://schemas.openxmlformats.org/officeDocument/2006/relationships">
  <sheetPr codeName="Sheet2"/>
  <dimension ref="A5:J56"/>
  <sheetViews>
    <sheetView view="pageBreakPreview" zoomScaleSheetLayoutView="100" workbookViewId="0">
      <selection activeCell="I25" sqref="I25"/>
    </sheetView>
  </sheetViews>
  <sheetFormatPr defaultRowHeight="15"/>
  <cols>
    <col min="1" max="16384" width="9.140625" style="10"/>
  </cols>
  <sheetData>
    <row r="5" spans="1:9">
      <c r="A5" s="209" t="s">
        <v>16</v>
      </c>
      <c r="B5" s="209"/>
    </row>
    <row r="6" spans="1:9">
      <c r="C6" s="9"/>
    </row>
    <row r="10" spans="1:9">
      <c r="I10" s="11"/>
    </row>
    <row r="11" spans="1:9" ht="22.5">
      <c r="I11" s="12" t="s">
        <v>17</v>
      </c>
    </row>
    <row r="12" spans="1:9" ht="20.25">
      <c r="I12" s="67" t="s">
        <v>65</v>
      </c>
    </row>
    <row r="13" spans="1:9">
      <c r="I13" s="13"/>
    </row>
    <row r="14" spans="1:9">
      <c r="I14" s="14"/>
    </row>
    <row r="16" spans="1:9">
      <c r="G16" s="15"/>
      <c r="I16" s="11" t="s">
        <v>18</v>
      </c>
    </row>
    <row r="17" spans="8:10">
      <c r="I17" s="14"/>
      <c r="J17" s="14"/>
    </row>
    <row r="18" spans="8:10">
      <c r="I18" s="11" t="s">
        <v>19</v>
      </c>
      <c r="J18" s="14"/>
    </row>
    <row r="19" spans="8:10">
      <c r="J19" s="14"/>
    </row>
    <row r="20" spans="8:10">
      <c r="I20" s="11" t="s">
        <v>11</v>
      </c>
      <c r="J20" s="14"/>
    </row>
    <row r="21" spans="8:10">
      <c r="H21" s="13"/>
      <c r="I21" s="13"/>
      <c r="J21" s="14"/>
    </row>
    <row r="22" spans="8:10">
      <c r="H22" s="13"/>
      <c r="I22" s="14"/>
      <c r="J22" s="14"/>
    </row>
    <row r="23" spans="8:10">
      <c r="H23" s="13"/>
      <c r="I23" s="14"/>
      <c r="J23" s="14"/>
    </row>
    <row r="24" spans="8:10">
      <c r="H24" s="13"/>
      <c r="I24" s="14"/>
      <c r="J24" s="14"/>
    </row>
    <row r="25" spans="8:10">
      <c r="I25" s="11" t="s">
        <v>12</v>
      </c>
      <c r="J25" s="14"/>
    </row>
    <row r="26" spans="8:10">
      <c r="I26" s="11"/>
      <c r="J26" s="14"/>
    </row>
    <row r="27" spans="8:10">
      <c r="I27" s="11" t="s">
        <v>13</v>
      </c>
      <c r="J27" s="14"/>
    </row>
    <row r="28" spans="8:10">
      <c r="I28" s="13"/>
      <c r="J28" s="14"/>
    </row>
    <row r="29" spans="8:10">
      <c r="I29" s="14"/>
      <c r="J29" s="14"/>
    </row>
    <row r="30" spans="8:10">
      <c r="I30" s="14"/>
      <c r="J30" s="14"/>
    </row>
    <row r="31" spans="8:10">
      <c r="I31" s="14"/>
      <c r="J31" s="14"/>
    </row>
    <row r="32" spans="8:10">
      <c r="I32" s="14"/>
      <c r="J32" s="14"/>
    </row>
    <row r="33" spans="8:10">
      <c r="I33" s="11" t="s">
        <v>14</v>
      </c>
    </row>
    <row r="34" spans="8:10">
      <c r="H34" s="13"/>
      <c r="I34" s="11" t="s">
        <v>15</v>
      </c>
    </row>
    <row r="36" spans="8:10">
      <c r="I36" s="14"/>
      <c r="J36" s="14"/>
    </row>
    <row r="37" spans="8:10">
      <c r="I37" s="14"/>
      <c r="J37" s="14"/>
    </row>
    <row r="38" spans="8:10">
      <c r="J38" s="14"/>
    </row>
    <row r="39" spans="8:10">
      <c r="J39" s="14"/>
    </row>
    <row r="40" spans="8:10">
      <c r="I40" s="14"/>
      <c r="J40" s="14"/>
    </row>
    <row r="41" spans="8:10">
      <c r="I41" s="14"/>
      <c r="J41" s="14"/>
    </row>
    <row r="42" spans="8:10">
      <c r="I42" s="14"/>
      <c r="J42" s="14"/>
    </row>
    <row r="43" spans="8:10">
      <c r="I43" s="14"/>
      <c r="J43" s="14"/>
    </row>
    <row r="44" spans="8:10">
      <c r="I44" s="14"/>
      <c r="J44" s="14"/>
    </row>
    <row r="45" spans="8:10">
      <c r="I45" s="14"/>
      <c r="J45" s="14"/>
    </row>
    <row r="46" spans="8:10">
      <c r="I46" s="14"/>
      <c r="J46" s="14"/>
    </row>
    <row r="47" spans="8:10">
      <c r="I47" s="14"/>
      <c r="J47" s="14"/>
    </row>
    <row r="48" spans="8:10">
      <c r="I48" s="14"/>
      <c r="J48" s="14"/>
    </row>
    <row r="49" spans="9:10">
      <c r="I49" s="14"/>
      <c r="J49" s="14"/>
    </row>
    <row r="50" spans="9:10">
      <c r="I50" s="14"/>
      <c r="J50" s="14"/>
    </row>
    <row r="51" spans="9:10">
      <c r="I51" s="14"/>
      <c r="J51" s="14"/>
    </row>
    <row r="52" spans="9:10">
      <c r="I52" s="14"/>
      <c r="J52" s="14"/>
    </row>
    <row r="53" spans="9:10">
      <c r="I53" s="14"/>
      <c r="J53" s="14"/>
    </row>
    <row r="54" spans="9:10">
      <c r="I54" s="14"/>
      <c r="J54" s="14"/>
    </row>
    <row r="55" spans="9:10">
      <c r="I55" s="14"/>
      <c r="J55" s="14"/>
    </row>
    <row r="56" spans="9:10">
      <c r="I56" s="14"/>
      <c r="J56" s="14"/>
    </row>
  </sheetData>
  <mergeCells count="1">
    <mergeCell ref="A5:B5"/>
  </mergeCells>
  <printOptions horizontalCentered="1"/>
  <pageMargins left="0.78740157480314965" right="0.78740157480314965" top="0.78740157480314965" bottom="0.78740157480314965" header="0.39370078740157483" footer="0.39370078740157483"/>
  <pageSetup paperSize="9" orientation="portrait" r:id="rId1"/>
  <headerFooter>
    <oddHeader>&amp;R&amp;F - &amp;A</oddHeader>
    <oddFooter>&amp;L&amp;9CMMI-PP-FM-01.02 0.20Ngày hiệu lực: 19/10/2012&amp;C&amp;"Times New Roman,Bold"Internal Use Only</oddFooter>
  </headerFooter>
  <drawing r:id="rId2"/>
</worksheet>
</file>

<file path=xl/worksheets/sheet3.xml><?xml version="1.0" encoding="utf-8"?>
<worksheet xmlns="http://schemas.openxmlformats.org/spreadsheetml/2006/main" xmlns:r="http://schemas.openxmlformats.org/officeDocument/2006/relationships">
  <sheetPr codeName="Sheet3"/>
  <dimension ref="A1:I30"/>
  <sheetViews>
    <sheetView view="pageBreakPreview" zoomScaleSheetLayoutView="100" workbookViewId="0">
      <selection activeCell="D15" sqref="D15:I15"/>
    </sheetView>
  </sheetViews>
  <sheetFormatPr defaultColWidth="2.28515625" defaultRowHeight="15"/>
  <cols>
    <col min="1" max="1" width="11.28515625" style="39" customWidth="1"/>
    <col min="2" max="2" width="14.42578125" style="18" customWidth="1"/>
    <col min="3" max="3" width="9.85546875" style="39" customWidth="1"/>
    <col min="4" max="4" width="13.140625" style="18" customWidth="1"/>
    <col min="5" max="6" width="11.28515625" style="18" customWidth="1"/>
    <col min="7" max="7" width="9.85546875" style="18" customWidth="1"/>
    <col min="8" max="8" width="9.7109375" style="18" customWidth="1"/>
    <col min="9" max="9" width="6" style="18" customWidth="1"/>
    <col min="10" max="16384" width="2.28515625" style="18"/>
  </cols>
  <sheetData>
    <row r="1" spans="1:9">
      <c r="A1" s="221"/>
      <c r="B1" s="222"/>
      <c r="C1" s="222"/>
      <c r="D1" s="222"/>
      <c r="E1" s="16" t="s">
        <v>20</v>
      </c>
      <c r="F1" s="16" t="s">
        <v>21</v>
      </c>
      <c r="G1" s="16" t="s">
        <v>22</v>
      </c>
      <c r="H1" s="16" t="s">
        <v>23</v>
      </c>
      <c r="I1" s="17" t="s">
        <v>24</v>
      </c>
    </row>
    <row r="2" spans="1:9">
      <c r="A2" s="223"/>
      <c r="B2" s="224"/>
      <c r="C2" s="224"/>
      <c r="D2" s="224"/>
      <c r="E2" s="19">
        <f>MIN($A$5:$A$66)</f>
        <v>0</v>
      </c>
      <c r="F2" s="20" t="e">
        <f>VLOOKUP(MIN($A$5:$A$66),$A$5:$C$66,2)</f>
        <v>#N/A</v>
      </c>
      <c r="G2" s="19">
        <f>MAX($A$5:$A$66)</f>
        <v>0</v>
      </c>
      <c r="H2" s="20" t="e">
        <f>VLOOKUP(MAX($A$5:$A$66),$A$5:$C$66,2)</f>
        <v>#N/A</v>
      </c>
      <c r="I2" s="21" t="e">
        <f>VLOOKUP(MAX($A$5:$A$66),$A$5:$C$66,3)</f>
        <v>#N/A</v>
      </c>
    </row>
    <row r="3" spans="1:9">
      <c r="A3" s="22"/>
      <c r="B3" s="23"/>
      <c r="C3" s="22"/>
      <c r="D3" s="23"/>
      <c r="E3" s="23"/>
      <c r="F3" s="23"/>
      <c r="G3" s="23"/>
      <c r="H3" s="23"/>
      <c r="I3" s="23"/>
    </row>
    <row r="4" spans="1:9" ht="15.75" thickBot="1">
      <c r="A4" s="24" t="s">
        <v>25</v>
      </c>
      <c r="B4" s="24" t="s">
        <v>26</v>
      </c>
      <c r="C4" s="24" t="s">
        <v>27</v>
      </c>
      <c r="D4" s="225" t="s">
        <v>28</v>
      </c>
      <c r="E4" s="226"/>
      <c r="F4" s="226"/>
      <c r="G4" s="226"/>
      <c r="H4" s="226"/>
      <c r="I4" s="227"/>
    </row>
    <row r="5" spans="1:9" ht="13.5" customHeight="1" thickTop="1">
      <c r="A5" s="25"/>
      <c r="B5" s="26"/>
      <c r="C5" s="27"/>
      <c r="D5" s="228"/>
      <c r="E5" s="229"/>
      <c r="F5" s="230"/>
      <c r="G5" s="230"/>
      <c r="H5" s="230"/>
      <c r="I5" s="231"/>
    </row>
    <row r="6" spans="1:9" ht="13.5" customHeight="1">
      <c r="A6" s="28"/>
      <c r="B6" s="29"/>
      <c r="C6" s="30"/>
      <c r="D6" s="210"/>
      <c r="E6" s="211"/>
      <c r="F6" s="212"/>
      <c r="G6" s="212"/>
      <c r="H6" s="212"/>
      <c r="I6" s="213"/>
    </row>
    <row r="7" spans="1:9" ht="13.5" customHeight="1">
      <c r="A7" s="28"/>
      <c r="B7" s="29"/>
      <c r="C7" s="30"/>
      <c r="D7" s="210"/>
      <c r="E7" s="211"/>
      <c r="F7" s="212"/>
      <c r="G7" s="212"/>
      <c r="H7" s="212"/>
      <c r="I7" s="213"/>
    </row>
    <row r="8" spans="1:9" ht="13.5" customHeight="1">
      <c r="A8" s="28"/>
      <c r="B8" s="29"/>
      <c r="C8" s="30"/>
      <c r="D8" s="210"/>
      <c r="E8" s="211"/>
      <c r="F8" s="212"/>
      <c r="G8" s="212"/>
      <c r="H8" s="212"/>
      <c r="I8" s="213"/>
    </row>
    <row r="9" spans="1:9" ht="13.5" customHeight="1">
      <c r="A9" s="28"/>
      <c r="B9" s="29"/>
      <c r="C9" s="30"/>
      <c r="D9" s="31"/>
      <c r="E9" s="31"/>
      <c r="F9" s="31"/>
      <c r="G9" s="31"/>
      <c r="H9" s="31"/>
      <c r="I9" s="32"/>
    </row>
    <row r="10" spans="1:9" ht="13.5" customHeight="1">
      <c r="A10" s="28"/>
      <c r="B10" s="29"/>
      <c r="C10" s="30"/>
      <c r="D10" s="210"/>
      <c r="E10" s="211"/>
      <c r="F10" s="212"/>
      <c r="G10" s="212"/>
      <c r="H10" s="212"/>
      <c r="I10" s="213"/>
    </row>
    <row r="11" spans="1:9" ht="13.5" customHeight="1">
      <c r="A11" s="28"/>
      <c r="B11" s="29"/>
      <c r="C11" s="30"/>
      <c r="D11" s="210"/>
      <c r="E11" s="211"/>
      <c r="F11" s="212"/>
      <c r="G11" s="212"/>
      <c r="H11" s="212"/>
      <c r="I11" s="213"/>
    </row>
    <row r="12" spans="1:9" ht="13.5" customHeight="1">
      <c r="A12" s="28"/>
      <c r="B12" s="29"/>
      <c r="C12" s="30"/>
      <c r="D12" s="210"/>
      <c r="E12" s="211"/>
      <c r="F12" s="212"/>
      <c r="G12" s="212"/>
      <c r="H12" s="212"/>
      <c r="I12" s="213"/>
    </row>
    <row r="13" spans="1:9" ht="13.5" customHeight="1">
      <c r="A13" s="28"/>
      <c r="B13" s="29"/>
      <c r="C13" s="30"/>
      <c r="D13" s="210"/>
      <c r="E13" s="211"/>
      <c r="F13" s="212"/>
      <c r="G13" s="212"/>
      <c r="H13" s="212"/>
      <c r="I13" s="213"/>
    </row>
    <row r="14" spans="1:9" ht="13.5" customHeight="1">
      <c r="A14" s="28"/>
      <c r="B14" s="29"/>
      <c r="C14" s="30"/>
      <c r="D14" s="210"/>
      <c r="E14" s="211"/>
      <c r="F14" s="212"/>
      <c r="G14" s="212"/>
      <c r="H14" s="212"/>
      <c r="I14" s="213"/>
    </row>
    <row r="15" spans="1:9" ht="13.5" customHeight="1">
      <c r="A15" s="28"/>
      <c r="B15" s="29"/>
      <c r="C15" s="30"/>
      <c r="D15" s="210"/>
      <c r="E15" s="211"/>
      <c r="F15" s="212"/>
      <c r="G15" s="212"/>
      <c r="H15" s="212"/>
      <c r="I15" s="213"/>
    </row>
    <row r="16" spans="1:9" ht="13.5" customHeight="1">
      <c r="A16" s="28"/>
      <c r="B16" s="29"/>
      <c r="C16" s="30"/>
      <c r="D16" s="210"/>
      <c r="E16" s="211"/>
      <c r="F16" s="212"/>
      <c r="G16" s="212"/>
      <c r="H16" s="212"/>
      <c r="I16" s="213"/>
    </row>
    <row r="17" spans="1:9" ht="13.5" customHeight="1">
      <c r="A17" s="28"/>
      <c r="B17" s="29"/>
      <c r="C17" s="30"/>
      <c r="D17" s="210"/>
      <c r="E17" s="211"/>
      <c r="F17" s="212"/>
      <c r="G17" s="212"/>
      <c r="H17" s="212"/>
      <c r="I17" s="213"/>
    </row>
    <row r="18" spans="1:9" ht="13.5" customHeight="1">
      <c r="A18" s="28"/>
      <c r="B18" s="29"/>
      <c r="C18" s="30"/>
      <c r="D18" s="210"/>
      <c r="E18" s="211"/>
      <c r="F18" s="212"/>
      <c r="G18" s="212"/>
      <c r="H18" s="212"/>
      <c r="I18" s="213"/>
    </row>
    <row r="19" spans="1:9" ht="13.5" customHeight="1">
      <c r="A19" s="28"/>
      <c r="B19" s="29"/>
      <c r="C19" s="30"/>
      <c r="D19" s="210"/>
      <c r="E19" s="211"/>
      <c r="F19" s="212"/>
      <c r="G19" s="212"/>
      <c r="H19" s="212"/>
      <c r="I19" s="213"/>
    </row>
    <row r="20" spans="1:9" ht="13.5" customHeight="1">
      <c r="A20" s="28"/>
      <c r="B20" s="29"/>
      <c r="C20" s="30"/>
      <c r="D20" s="210"/>
      <c r="E20" s="211"/>
      <c r="F20" s="212"/>
      <c r="G20" s="212"/>
      <c r="H20" s="212"/>
      <c r="I20" s="213"/>
    </row>
    <row r="21" spans="1:9" ht="13.5" customHeight="1">
      <c r="A21" s="28"/>
      <c r="B21" s="29"/>
      <c r="C21" s="30"/>
      <c r="D21" s="210"/>
      <c r="E21" s="211"/>
      <c r="F21" s="212"/>
      <c r="G21" s="212"/>
      <c r="H21" s="212"/>
      <c r="I21" s="213"/>
    </row>
    <row r="22" spans="1:9" ht="13.5" customHeight="1">
      <c r="A22" s="28"/>
      <c r="B22" s="29"/>
      <c r="C22" s="30"/>
      <c r="D22" s="210"/>
      <c r="E22" s="211"/>
      <c r="F22" s="212"/>
      <c r="G22" s="212"/>
      <c r="H22" s="212"/>
      <c r="I22" s="213"/>
    </row>
    <row r="23" spans="1:9" ht="13.5" customHeight="1">
      <c r="A23" s="28"/>
      <c r="B23" s="29"/>
      <c r="C23" s="30"/>
      <c r="D23" s="210"/>
      <c r="E23" s="211"/>
      <c r="F23" s="212"/>
      <c r="G23" s="212"/>
      <c r="H23" s="212"/>
      <c r="I23" s="213"/>
    </row>
    <row r="24" spans="1:9" ht="13.5" customHeight="1">
      <c r="A24" s="28"/>
      <c r="B24" s="29"/>
      <c r="C24" s="30"/>
      <c r="D24" s="210"/>
      <c r="E24" s="211"/>
      <c r="F24" s="212"/>
      <c r="G24" s="212"/>
      <c r="H24" s="212"/>
      <c r="I24" s="213"/>
    </row>
    <row r="25" spans="1:9" ht="13.5" customHeight="1">
      <c r="A25" s="28"/>
      <c r="B25" s="29"/>
      <c r="C25" s="30"/>
      <c r="D25" s="210"/>
      <c r="E25" s="211"/>
      <c r="F25" s="212"/>
      <c r="G25" s="212"/>
      <c r="H25" s="212"/>
      <c r="I25" s="213"/>
    </row>
    <row r="26" spans="1:9" ht="13.5" customHeight="1">
      <c r="A26" s="28"/>
      <c r="B26" s="29"/>
      <c r="C26" s="30"/>
      <c r="D26" s="220"/>
      <c r="E26" s="211"/>
      <c r="F26" s="212"/>
      <c r="G26" s="212"/>
      <c r="H26" s="212"/>
      <c r="I26" s="213"/>
    </row>
    <row r="27" spans="1:9" ht="13.5" customHeight="1">
      <c r="A27" s="28"/>
      <c r="B27" s="29"/>
      <c r="C27" s="30"/>
      <c r="D27" s="210"/>
      <c r="E27" s="211"/>
      <c r="F27" s="212"/>
      <c r="G27" s="212"/>
      <c r="H27" s="212"/>
      <c r="I27" s="213"/>
    </row>
    <row r="28" spans="1:9" ht="13.5" customHeight="1">
      <c r="A28" s="28"/>
      <c r="B28" s="29"/>
      <c r="C28" s="30"/>
      <c r="D28" s="210"/>
      <c r="E28" s="211"/>
      <c r="F28" s="212"/>
      <c r="G28" s="212"/>
      <c r="H28" s="212"/>
      <c r="I28" s="213"/>
    </row>
    <row r="29" spans="1:9" ht="13.5" customHeight="1">
      <c r="A29" s="33"/>
      <c r="B29" s="34"/>
      <c r="C29" s="35"/>
      <c r="D29" s="214"/>
      <c r="E29" s="215"/>
      <c r="F29" s="216"/>
      <c r="G29" s="216"/>
      <c r="H29" s="216"/>
      <c r="I29" s="217"/>
    </row>
    <row r="30" spans="1:9" ht="13.5" customHeight="1">
      <c r="A30" s="36"/>
      <c r="B30" s="37"/>
      <c r="C30" s="38"/>
      <c r="D30" s="218"/>
      <c r="E30" s="218"/>
      <c r="F30" s="219"/>
      <c r="G30" s="219"/>
      <c r="H30" s="219"/>
      <c r="I30" s="219"/>
    </row>
  </sheetData>
  <mergeCells count="28">
    <mergeCell ref="D7:I7"/>
    <mergeCell ref="A1:D1"/>
    <mergeCell ref="A2:D2"/>
    <mergeCell ref="D4:I4"/>
    <mergeCell ref="D5:I5"/>
    <mergeCell ref="D6:I6"/>
    <mergeCell ref="D20:I20"/>
    <mergeCell ref="D8:I8"/>
    <mergeCell ref="D10:I10"/>
    <mergeCell ref="D11:I11"/>
    <mergeCell ref="D12:I12"/>
    <mergeCell ref="D13:I13"/>
    <mergeCell ref="D14:I14"/>
    <mergeCell ref="D15:I15"/>
    <mergeCell ref="D16:I16"/>
    <mergeCell ref="D17:I17"/>
    <mergeCell ref="D18:I18"/>
    <mergeCell ref="D19:I19"/>
    <mergeCell ref="D27:I27"/>
    <mergeCell ref="D28:I28"/>
    <mergeCell ref="D29:I29"/>
    <mergeCell ref="D30:I30"/>
    <mergeCell ref="D21:I21"/>
    <mergeCell ref="D22:I22"/>
    <mergeCell ref="D23:I23"/>
    <mergeCell ref="D24:I24"/>
    <mergeCell ref="D25:I25"/>
    <mergeCell ref="D26:I26"/>
  </mergeCells>
  <conditionalFormatting sqref="A5:I30">
    <cfRule type="expression" dxfId="42" priority="1">
      <formula>$A5=""</formula>
    </cfRule>
  </conditionalFormatting>
  <dataValidations count="2">
    <dataValidation type="date" operator="greaterThanOrEqual" allowBlank="1" showInputMessage="1" showErrorMessage="1" sqref="A5:A30">
      <formula1>1</formula1>
    </dataValidation>
    <dataValidation type="decimal" operator="greaterThanOrEqual" allowBlank="1" showInputMessage="1" showErrorMessage="1" sqref="C5:C30">
      <formula1>0</formula1>
    </dataValidation>
  </dataValidations>
  <printOptions horizontalCentered="1"/>
  <pageMargins left="0.78740157480314965" right="0.78740157480314965" top="0.78740157480314965" bottom="0.78740157480314965" header="0.39370078740157483" footer="0.39370078740157483"/>
  <pageSetup paperSize="9" scale="85" orientation="portrait" horizontalDpi="300" verticalDpi="300" r:id="rId1"/>
  <headerFooter>
    <oddHeader>&amp;R&amp;F - &amp;A</oddHeader>
    <oddFooter>&amp;L&amp;9CMMI-PP-FM-01.02 0.20Ngày hiệu lực: 19/10/2012&amp;C&amp;"Times New Roman,Bold"Internal Use Only</oddFooter>
  </headerFooter>
</worksheet>
</file>

<file path=xl/worksheets/sheet4.xml><?xml version="1.0" encoding="utf-8"?>
<worksheet xmlns="http://schemas.openxmlformats.org/spreadsheetml/2006/main" xmlns:r="http://schemas.openxmlformats.org/officeDocument/2006/relationships">
  <sheetPr codeName="Sheet4"/>
  <dimension ref="A1:E173"/>
  <sheetViews>
    <sheetView view="pageBreakPreview" zoomScaleSheetLayoutView="100" workbookViewId="0">
      <selection activeCell="D14" sqref="D14"/>
    </sheetView>
  </sheetViews>
  <sheetFormatPr defaultRowHeight="15"/>
  <cols>
    <col min="1" max="1" width="4.140625" style="43" customWidth="1"/>
    <col min="2" max="2" width="26" style="43" customWidth="1"/>
    <col min="3" max="3" width="19.28515625" style="43" customWidth="1"/>
    <col min="4" max="4" width="27" style="43" customWidth="1"/>
    <col min="5" max="5" width="26.85546875" style="43" customWidth="1"/>
    <col min="6" max="16384" width="9.140625" style="43"/>
  </cols>
  <sheetData>
    <row r="1" spans="1:5" ht="24.75" customHeight="1">
      <c r="A1" s="40" t="s">
        <v>29</v>
      </c>
      <c r="B1" s="41"/>
      <c r="C1" s="42"/>
      <c r="D1" s="42"/>
      <c r="E1" s="42"/>
    </row>
    <row r="3" spans="1:5" ht="26.25">
      <c r="A3" s="44" t="s">
        <v>30</v>
      </c>
      <c r="B3" s="44" t="s">
        <v>31</v>
      </c>
      <c r="C3" s="44" t="s">
        <v>32</v>
      </c>
      <c r="D3" s="44" t="s">
        <v>33</v>
      </c>
      <c r="E3" s="44" t="s">
        <v>34</v>
      </c>
    </row>
    <row r="4" spans="1:5" s="46" customFormat="1" ht="15.75" thickBot="1">
      <c r="A4" s="45" t="s">
        <v>35</v>
      </c>
      <c r="B4" s="45" t="s">
        <v>36</v>
      </c>
      <c r="C4" s="45" t="s">
        <v>37</v>
      </c>
      <c r="D4" s="45" t="s">
        <v>38</v>
      </c>
      <c r="E4" s="45" t="s">
        <v>39</v>
      </c>
    </row>
    <row r="5" spans="1:5" ht="15.75" thickTop="1">
      <c r="A5" s="47"/>
      <c r="B5" s="47"/>
      <c r="C5" s="48"/>
      <c r="D5" s="48"/>
      <c r="E5" s="47"/>
    </row>
    <row r="6" spans="1:5">
      <c r="A6" s="47"/>
      <c r="B6" s="47"/>
      <c r="C6" s="48"/>
      <c r="D6" s="48"/>
      <c r="E6" s="47"/>
    </row>
    <row r="7" spans="1:5">
      <c r="A7" s="47"/>
      <c r="B7" s="47"/>
      <c r="C7" s="48"/>
      <c r="D7" s="48"/>
      <c r="E7" s="47"/>
    </row>
    <row r="8" spans="1:5">
      <c r="A8" s="47"/>
      <c r="B8" s="47"/>
      <c r="C8" s="48"/>
      <c r="D8" s="48"/>
      <c r="E8" s="47"/>
    </row>
    <row r="9" spans="1:5">
      <c r="A9" s="47"/>
      <c r="B9" s="47"/>
      <c r="C9" s="48"/>
      <c r="D9" s="48"/>
      <c r="E9" s="47"/>
    </row>
    <row r="10" spans="1:5">
      <c r="A10" s="47"/>
      <c r="B10" s="47"/>
      <c r="C10" s="48"/>
      <c r="D10" s="48"/>
      <c r="E10" s="47"/>
    </row>
    <row r="11" spans="1:5">
      <c r="A11" s="47"/>
      <c r="B11" s="47"/>
      <c r="C11" s="48"/>
      <c r="D11" s="48"/>
      <c r="E11" s="47"/>
    </row>
    <row r="12" spans="1:5">
      <c r="A12" s="47"/>
      <c r="B12" s="47"/>
      <c r="C12" s="48"/>
      <c r="D12" s="48"/>
      <c r="E12" s="47"/>
    </row>
    <row r="13" spans="1:5">
      <c r="A13" s="47"/>
      <c r="B13" s="47"/>
      <c r="C13" s="48"/>
      <c r="D13" s="48"/>
      <c r="E13" s="47"/>
    </row>
    <row r="14" spans="1:5">
      <c r="A14" s="47"/>
      <c r="B14" s="47"/>
      <c r="C14" s="48"/>
      <c r="D14" s="48"/>
      <c r="E14" s="47"/>
    </row>
    <row r="15" spans="1:5">
      <c r="A15" s="47"/>
      <c r="B15" s="47"/>
      <c r="C15" s="48"/>
      <c r="D15" s="48"/>
      <c r="E15" s="47"/>
    </row>
    <row r="16" spans="1:5">
      <c r="A16" s="47"/>
      <c r="B16" s="47"/>
      <c r="C16" s="48"/>
      <c r="D16" s="48"/>
      <c r="E16" s="47"/>
    </row>
    <row r="17" spans="1:5">
      <c r="A17" s="47"/>
      <c r="B17" s="47"/>
      <c r="C17" s="48"/>
      <c r="D17" s="48"/>
      <c r="E17" s="47"/>
    </row>
    <row r="18" spans="1:5">
      <c r="A18" s="47"/>
      <c r="B18" s="47"/>
      <c r="C18" s="48"/>
      <c r="D18" s="48"/>
      <c r="E18" s="47"/>
    </row>
    <row r="19" spans="1:5">
      <c r="A19" s="47"/>
      <c r="B19" s="47"/>
      <c r="C19" s="48"/>
      <c r="D19" s="48"/>
      <c r="E19" s="47"/>
    </row>
    <row r="20" spans="1:5">
      <c r="A20" s="47"/>
      <c r="B20" s="47"/>
      <c r="C20" s="48"/>
      <c r="D20" s="48"/>
      <c r="E20" s="47"/>
    </row>
    <row r="21" spans="1:5">
      <c r="A21" s="47"/>
      <c r="B21" s="47"/>
      <c r="C21" s="48"/>
      <c r="D21" s="48"/>
      <c r="E21" s="47"/>
    </row>
    <row r="22" spans="1:5">
      <c r="A22" s="47"/>
      <c r="B22" s="47"/>
      <c r="C22" s="48"/>
      <c r="D22" s="48"/>
      <c r="E22" s="47"/>
    </row>
    <row r="23" spans="1:5">
      <c r="A23" s="47"/>
      <c r="B23" s="47"/>
      <c r="C23" s="48"/>
      <c r="D23" s="48"/>
      <c r="E23" s="47"/>
    </row>
    <row r="24" spans="1:5">
      <c r="A24" s="47"/>
      <c r="B24" s="47"/>
      <c r="C24" s="48"/>
      <c r="D24" s="48"/>
      <c r="E24" s="47"/>
    </row>
    <row r="25" spans="1:5">
      <c r="A25" s="47"/>
      <c r="B25" s="47"/>
      <c r="C25" s="48"/>
      <c r="D25" s="48"/>
      <c r="E25" s="47"/>
    </row>
    <row r="26" spans="1:5">
      <c r="A26" s="47"/>
      <c r="B26" s="47"/>
      <c r="C26" s="48"/>
      <c r="D26" s="48"/>
      <c r="E26" s="47"/>
    </row>
    <row r="27" spans="1:5">
      <c r="A27" s="47"/>
      <c r="B27" s="47"/>
      <c r="C27" s="48"/>
      <c r="D27" s="48"/>
      <c r="E27" s="47"/>
    </row>
    <row r="28" spans="1:5">
      <c r="A28" s="47"/>
      <c r="B28" s="47"/>
      <c r="C28" s="48"/>
      <c r="D28" s="48"/>
      <c r="E28" s="47"/>
    </row>
    <row r="29" spans="1:5">
      <c r="A29" s="47"/>
      <c r="B29" s="47"/>
      <c r="C29" s="48"/>
      <c r="D29" s="48"/>
      <c r="E29" s="47"/>
    </row>
    <row r="30" spans="1:5">
      <c r="A30" s="49"/>
      <c r="B30" s="49"/>
      <c r="C30" s="50"/>
      <c r="D30" s="50"/>
      <c r="E30" s="49"/>
    </row>
    <row r="173" spans="1:5">
      <c r="A173" s="46"/>
      <c r="B173" s="46"/>
      <c r="C173" s="46"/>
      <c r="D173" s="46"/>
      <c r="E173" s="46"/>
    </row>
  </sheetData>
  <conditionalFormatting sqref="A5:E30">
    <cfRule type="expression" dxfId="41" priority="1">
      <formula>$A5=""</formula>
    </cfRule>
  </conditionalFormatting>
  <printOptions horizontalCentered="1"/>
  <pageMargins left="0.78740157480314965" right="0.78740157480314965" top="0.78740157480314965" bottom="0.78740157480314965" header="0.39370078740157483" footer="0.39370078740157483"/>
  <pageSetup paperSize="9" scale="80" orientation="portrait" r:id="rId1"/>
  <headerFooter>
    <oddHeader>&amp;R&amp;F - &amp;A</oddHeader>
    <oddFooter>&amp;L&amp;9CMMI-PP-FM-01.02 0.20Ngày hiệu lực: 19/10/2012&amp;C&amp;"Times New Roman,Bold"Internal Use Only</oddFooter>
  </headerFooter>
</worksheet>
</file>

<file path=xl/worksheets/sheet5.xml><?xml version="1.0" encoding="utf-8"?>
<worksheet xmlns="http://schemas.openxmlformats.org/spreadsheetml/2006/main" xmlns:r="http://schemas.openxmlformats.org/officeDocument/2006/relationships">
  <sheetPr codeName="Sheet5"/>
  <dimension ref="A2:G29"/>
  <sheetViews>
    <sheetView view="pageBreakPreview" zoomScaleSheetLayoutView="100" workbookViewId="0">
      <selection activeCell="C12" sqref="C12"/>
    </sheetView>
  </sheetViews>
  <sheetFormatPr defaultColWidth="8.85546875" defaultRowHeight="15"/>
  <cols>
    <col min="1" max="1" width="5" style="68" customWidth="1"/>
    <col min="2" max="2" width="22.7109375" style="68" customWidth="1"/>
    <col min="3" max="3" width="12.140625" style="68" customWidth="1"/>
    <col min="4" max="5" width="12" style="68" customWidth="1"/>
    <col min="6" max="6" width="14.140625" style="68" customWidth="1"/>
    <col min="7" max="7" width="12" style="68" customWidth="1"/>
    <col min="8" max="8" width="13.28515625" style="68" customWidth="1"/>
    <col min="9" max="16384" width="8.85546875" style="68"/>
  </cols>
  <sheetData>
    <row r="2" spans="1:7" ht="18.75">
      <c r="A2" s="87" t="s">
        <v>131</v>
      </c>
      <c r="B2" s="74" t="s">
        <v>60</v>
      </c>
    </row>
    <row r="4" spans="1:7">
      <c r="B4" s="78" t="s">
        <v>51</v>
      </c>
      <c r="C4" s="78" t="s">
        <v>52</v>
      </c>
      <c r="D4" s="89" t="s">
        <v>53</v>
      </c>
      <c r="E4" s="78" t="s">
        <v>54</v>
      </c>
      <c r="F4" s="91"/>
    </row>
    <row r="5" spans="1:7">
      <c r="B5" s="69" t="s">
        <v>81</v>
      </c>
      <c r="C5" s="70">
        <f>WBSSizeEstimate!E21</f>
        <v>0</v>
      </c>
      <c r="D5" s="80" t="s">
        <v>103</v>
      </c>
      <c r="E5" s="177"/>
      <c r="F5" s="88"/>
    </row>
    <row r="6" spans="1:7">
      <c r="B6" s="94" t="s">
        <v>82</v>
      </c>
      <c r="C6" s="179">
        <f>Table47[[#Totals],[Giá trị]]</f>
        <v>0</v>
      </c>
      <c r="D6" s="95" t="s">
        <v>3</v>
      </c>
      <c r="E6" s="178"/>
      <c r="F6" s="88"/>
    </row>
    <row r="7" spans="1:7" ht="18.75">
      <c r="B7" s="181" t="s">
        <v>83</v>
      </c>
      <c r="C7" s="182">
        <f>C5*(1+C6)</f>
        <v>0</v>
      </c>
      <c r="D7" s="125" t="s">
        <v>103</v>
      </c>
      <c r="E7" s="183"/>
      <c r="F7" s="118"/>
    </row>
    <row r="8" spans="1:7" ht="5.25" customHeight="1">
      <c r="E8" s="180"/>
      <c r="F8" s="88"/>
    </row>
    <row r="9" spans="1:7">
      <c r="B9" s="69" t="s">
        <v>85</v>
      </c>
      <c r="C9" s="175"/>
      <c r="D9" s="80" t="s">
        <v>104</v>
      </c>
      <c r="E9" s="177"/>
      <c r="F9" s="88"/>
    </row>
    <row r="10" spans="1:7">
      <c r="B10" s="69" t="s">
        <v>88</v>
      </c>
      <c r="C10" s="70">
        <f>IF(C9,C7/C9,0)</f>
        <v>0</v>
      </c>
      <c r="D10" s="90" t="s">
        <v>4</v>
      </c>
      <c r="E10" s="177"/>
      <c r="F10" s="88"/>
      <c r="G10"/>
    </row>
    <row r="11" spans="1:7">
      <c r="B11" s="69" t="s">
        <v>64</v>
      </c>
      <c r="C11" s="70">
        <f>EstimateCongSoKhac!C15</f>
        <v>0</v>
      </c>
      <c r="D11" s="80" t="s">
        <v>4</v>
      </c>
      <c r="E11" s="177"/>
      <c r="F11" s="88"/>
    </row>
    <row r="12" spans="1:7" ht="15.75" thickBot="1">
      <c r="B12" s="94" t="s">
        <v>48</v>
      </c>
      <c r="C12" s="176"/>
      <c r="D12" s="95" t="s">
        <v>3</v>
      </c>
      <c r="E12" s="178" t="s">
        <v>6</v>
      </c>
      <c r="F12" s="88"/>
    </row>
    <row r="13" spans="1:7" ht="19.5" thickBot="1">
      <c r="B13" s="96" t="s">
        <v>49</v>
      </c>
      <c r="C13" s="113">
        <f>(C10+C11)*(1+C12)</f>
        <v>0</v>
      </c>
      <c r="D13" s="97" t="s">
        <v>4</v>
      </c>
      <c r="E13" s="98"/>
      <c r="F13" s="112"/>
    </row>
    <row r="14" spans="1:7" ht="6" customHeight="1" thickBot="1"/>
    <row r="15" spans="1:7" ht="15.75" thickBot="1">
      <c r="B15" s="96" t="s">
        <v>102</v>
      </c>
      <c r="C15" s="110">
        <v>30000000</v>
      </c>
      <c r="D15" s="107" t="s">
        <v>105</v>
      </c>
      <c r="E15" s="98"/>
      <c r="F15" s="88"/>
    </row>
    <row r="17" spans="1:7" ht="18.75">
      <c r="A17" s="87" t="s">
        <v>132</v>
      </c>
      <c r="B17" s="74" t="s">
        <v>59</v>
      </c>
    </row>
    <row r="19" spans="1:7" ht="28.5">
      <c r="A19" s="79" t="s">
        <v>66</v>
      </c>
      <c r="B19" s="79" t="s">
        <v>61</v>
      </c>
      <c r="C19" s="103" t="s">
        <v>1</v>
      </c>
      <c r="D19" s="103" t="s">
        <v>63</v>
      </c>
      <c r="E19" s="103" t="s">
        <v>97</v>
      </c>
      <c r="F19" s="103" t="s">
        <v>96</v>
      </c>
      <c r="G19" s="103" t="s">
        <v>95</v>
      </c>
    </row>
    <row r="20" spans="1:7">
      <c r="A20" s="232" t="s">
        <v>80</v>
      </c>
      <c r="B20" s="232"/>
      <c r="C20" s="117">
        <f>SUM(C21:C27)</f>
        <v>0</v>
      </c>
      <c r="D20" s="117">
        <f>SUM(D21:D27)</f>
        <v>0</v>
      </c>
      <c r="E20" s="117"/>
      <c r="F20" s="117">
        <f>SUM(F21:F27)</f>
        <v>0</v>
      </c>
      <c r="G20" s="117">
        <f>SUM(G21:G27)</f>
        <v>0</v>
      </c>
    </row>
    <row r="21" spans="1:7">
      <c r="A21" s="92"/>
      <c r="B21" s="93"/>
      <c r="C21" s="82"/>
      <c r="D21" s="114"/>
      <c r="E21" s="115"/>
      <c r="F21" s="115"/>
      <c r="G21" s="116"/>
    </row>
    <row r="22" spans="1:7">
      <c r="A22" s="75"/>
      <c r="B22" s="93"/>
      <c r="C22" s="81"/>
      <c r="D22" s="72"/>
      <c r="E22" s="73"/>
      <c r="F22" s="73"/>
      <c r="G22" s="99"/>
    </row>
    <row r="23" spans="1:7">
      <c r="A23" s="75"/>
      <c r="B23" s="76"/>
      <c r="C23" s="81"/>
      <c r="D23" s="72"/>
      <c r="E23" s="73"/>
      <c r="F23" s="73"/>
      <c r="G23" s="99"/>
    </row>
    <row r="24" spans="1:7">
      <c r="A24" s="75"/>
      <c r="B24" s="76"/>
      <c r="C24" s="81"/>
      <c r="D24" s="72"/>
      <c r="E24" s="73"/>
      <c r="F24" s="73"/>
      <c r="G24" s="99"/>
    </row>
    <row r="25" spans="1:7">
      <c r="A25" s="75"/>
      <c r="B25" s="76"/>
      <c r="C25" s="81"/>
      <c r="D25" s="72"/>
      <c r="E25" s="73"/>
      <c r="F25" s="73"/>
      <c r="G25" s="99"/>
    </row>
    <row r="26" spans="1:7">
      <c r="A26" s="75"/>
      <c r="B26" s="76"/>
      <c r="C26" s="81"/>
      <c r="D26" s="72"/>
      <c r="E26" s="73"/>
      <c r="F26" s="73"/>
      <c r="G26" s="99"/>
    </row>
    <row r="27" spans="1:7">
      <c r="A27" s="233" t="s">
        <v>84</v>
      </c>
      <c r="B27" s="234"/>
      <c r="C27" s="234"/>
      <c r="D27" s="234"/>
      <c r="E27" s="234"/>
      <c r="F27" s="235"/>
      <c r="G27" s="99"/>
    </row>
    <row r="29" spans="1:7">
      <c r="D29"/>
    </row>
  </sheetData>
  <mergeCells count="2">
    <mergeCell ref="A20:B20"/>
    <mergeCell ref="A27:F27"/>
  </mergeCells>
  <phoneticPr fontId="2"/>
  <conditionalFormatting sqref="C9">
    <cfRule type="expression" dxfId="40" priority="1">
      <formula>$C9=""</formula>
    </cfRule>
    <cfRule type="expression" dxfId="39" priority="14" stopIfTrue="1">
      <formula>$C9=""</formula>
    </cfRule>
  </conditionalFormatting>
  <conditionalFormatting sqref="C12">
    <cfRule type="expression" dxfId="38" priority="13" stopIfTrue="1">
      <formula>$C12=""</formula>
    </cfRule>
  </conditionalFormatting>
  <conditionalFormatting sqref="C21:C26">
    <cfRule type="expression" dxfId="37" priority="7" stopIfTrue="1">
      <formula>AND($B21&lt;&gt;"",$C21="")</formula>
    </cfRule>
    <cfRule type="expression" dxfId="36" priority="12" stopIfTrue="1">
      <formula>AND($B21&lt;&gt;"",$C21="")</formula>
    </cfRule>
  </conditionalFormatting>
  <conditionalFormatting sqref="D21:D26">
    <cfRule type="expression" dxfId="35" priority="11" stopIfTrue="1">
      <formula>AND($B21&lt;&gt;"",$D21="")</formula>
    </cfRule>
  </conditionalFormatting>
  <conditionalFormatting sqref="F21:F26">
    <cfRule type="expression" dxfId="34" priority="10" stopIfTrue="1">
      <formula>AND($B21&lt;&gt;"",$F21="")</formula>
    </cfRule>
  </conditionalFormatting>
  <conditionalFormatting sqref="G21:G26">
    <cfRule type="expression" dxfId="33" priority="9" stopIfTrue="1">
      <formula>AND($B21&lt;&gt;"",$G21="")</formula>
    </cfRule>
  </conditionalFormatting>
  <conditionalFormatting sqref="E21:E26">
    <cfRule type="expression" dxfId="32" priority="6" stopIfTrue="1">
      <formula>AND($B21&lt;&gt;"",$E21="")</formula>
    </cfRule>
  </conditionalFormatting>
  <conditionalFormatting sqref="G27">
    <cfRule type="expression" dxfId="31" priority="16" stopIfTrue="1">
      <formula>AND($A27&lt;&gt;"",$G27="")</formula>
    </cfRule>
  </conditionalFormatting>
  <conditionalFormatting sqref="C15">
    <cfRule type="expression" dxfId="30" priority="4" stopIfTrue="1">
      <formula>$C15=""</formula>
    </cfRule>
  </conditionalFormatting>
  <conditionalFormatting sqref="A21:G26">
    <cfRule type="expression" dxfId="29" priority="3">
      <formula>$A21&lt;1</formula>
    </cfRule>
  </conditionalFormatting>
  <dataValidations count="1">
    <dataValidation type="decimal" allowBlank="1" showInputMessage="1" showErrorMessage="1" sqref="C12">
      <formula1>0</formula1>
      <formula2>0.2</formula2>
    </dataValidation>
  </dataValidations>
  <printOptions horizontalCentered="1" gridLines="1" gridLinesSet="0"/>
  <pageMargins left="0.78740157480314965" right="0.78740157480314965" top="0.78740157480314965" bottom="0.78740157480314965" header="0.39370078740157483" footer="0.39370078740157483"/>
  <pageSetup paperSize="9" scale="95" orientation="portrait" r:id="rId1"/>
  <headerFooter>
    <oddHeader>&amp;R&amp;F - &amp;A</oddHeader>
    <oddFooter>&amp;L&amp;9CMMI-PP-FM-01.02 0.20Ngày hiệu lực: 19/10/2012&amp;C&amp;"Times New Roman,Bold"Internal Use Only</oddFooter>
  </headerFooter>
</worksheet>
</file>

<file path=xl/worksheets/sheet6.xml><?xml version="1.0" encoding="utf-8"?>
<worksheet xmlns="http://schemas.openxmlformats.org/spreadsheetml/2006/main" xmlns:r="http://schemas.openxmlformats.org/officeDocument/2006/relationships">
  <sheetPr codeName="Sheet11"/>
  <dimension ref="A2:E100"/>
  <sheetViews>
    <sheetView workbookViewId="0">
      <selection activeCell="A2" sqref="A2"/>
    </sheetView>
  </sheetViews>
  <sheetFormatPr defaultRowHeight="15"/>
  <cols>
    <col min="1" max="1" width="6.7109375" customWidth="1"/>
    <col min="2" max="2" width="31.7109375" customWidth="1"/>
    <col min="3" max="3" width="13.7109375" customWidth="1"/>
    <col min="4" max="4" width="14" bestFit="1" customWidth="1"/>
    <col min="5" max="5" width="12" bestFit="1" customWidth="1"/>
  </cols>
  <sheetData>
    <row r="2" spans="1:4" ht="18.75">
      <c r="A2" s="130" t="s">
        <v>158</v>
      </c>
    </row>
    <row r="4" spans="1:4">
      <c r="A4" s="127">
        <v>1</v>
      </c>
      <c r="B4" s="128" t="s">
        <v>159</v>
      </c>
    </row>
    <row r="5" spans="1:4">
      <c r="B5" s="129" t="s">
        <v>178</v>
      </c>
    </row>
    <row r="7" spans="1:4">
      <c r="B7" s="133" t="s">
        <v>160</v>
      </c>
      <c r="C7" s="133" t="s">
        <v>162</v>
      </c>
      <c r="D7" s="134" t="s">
        <v>161</v>
      </c>
    </row>
    <row r="8" spans="1:4">
      <c r="B8" s="135" t="s">
        <v>151</v>
      </c>
      <c r="C8" s="135"/>
      <c r="D8" s="136">
        <f>SUMPRODUCT(('Do kho-ty le'!$B$5:$B$15=$B8)*('Do kho-ty le'!$C$5:$C$15)*($C$8:$C$18="Yes"))</f>
        <v>0</v>
      </c>
    </row>
    <row r="9" spans="1:4">
      <c r="B9" s="135" t="s">
        <v>152</v>
      </c>
      <c r="C9" s="135"/>
      <c r="D9" s="136">
        <f>SUMPRODUCT(('Do kho-ty le'!$B$5:$B$15=$B9)*('Do kho-ty le'!$C$5:$C$15)*($C$8:$C$18="Yes"))</f>
        <v>0</v>
      </c>
    </row>
    <row r="10" spans="1:4">
      <c r="B10" s="135" t="s">
        <v>153</v>
      </c>
      <c r="C10" s="135"/>
      <c r="D10" s="136">
        <f>SUMPRODUCT(('Do kho-ty le'!$B$5:$B$15=$B10)*('Do kho-ty le'!$C$5:$C$15)*($C$8:$C$18="Yes"))</f>
        <v>0</v>
      </c>
    </row>
    <row r="11" spans="1:4">
      <c r="B11" s="135" t="s">
        <v>134</v>
      </c>
      <c r="C11" s="135"/>
      <c r="D11" s="136">
        <f>SUMPRODUCT(('Do kho-ty le'!$B$5:$B$15=$B11)*('Do kho-ty le'!$C$5:$C$15)*($C$8:$C$18="Yes"))</f>
        <v>0</v>
      </c>
    </row>
    <row r="12" spans="1:4">
      <c r="B12" s="135" t="s">
        <v>154</v>
      </c>
      <c r="C12" s="135"/>
      <c r="D12" s="136">
        <f>SUMPRODUCT(('Do kho-ty le'!$B$5:$B$15=$B12)*('Do kho-ty le'!$C$5:$C$15)*($C$8:$C$18="Yes"))</f>
        <v>0</v>
      </c>
    </row>
    <row r="13" spans="1:4">
      <c r="B13" s="135" t="s">
        <v>164</v>
      </c>
      <c r="C13" s="135"/>
      <c r="D13" s="136">
        <f>SUMPRODUCT(('Do kho-ty le'!$B$5:$B$15=$B13)*('Do kho-ty le'!$C$5:$C$15)*($C$8:$C$18="Yes"))</f>
        <v>0</v>
      </c>
    </row>
    <row r="14" spans="1:4">
      <c r="B14" s="135" t="s">
        <v>163</v>
      </c>
      <c r="C14" s="135"/>
      <c r="D14" s="136">
        <f>SUMPRODUCT(('Do kho-ty le'!$B$5:$B$15=$B14)*('Do kho-ty le'!$C$5:$C$15)*($C$8:$C$18="Yes"))</f>
        <v>0</v>
      </c>
    </row>
    <row r="15" spans="1:4">
      <c r="B15" s="135" t="s">
        <v>165</v>
      </c>
      <c r="C15" s="135"/>
      <c r="D15" s="136">
        <f>SUMPRODUCT(('Do kho-ty le'!$B$5:$B$15=$B15)*('Do kho-ty le'!$C$5:$C$15)*($C$8:$C$18="Yes"))</f>
        <v>0</v>
      </c>
    </row>
    <row r="16" spans="1:4">
      <c r="B16" s="135" t="s">
        <v>166</v>
      </c>
      <c r="C16" s="135"/>
      <c r="D16" s="136">
        <f>SUMPRODUCT(('Do kho-ty le'!$B$5:$B$15=$B16)*('Do kho-ty le'!$C$5:$C$15)*($C$8:$C$18="Yes"))</f>
        <v>0</v>
      </c>
    </row>
    <row r="17" spans="1:5">
      <c r="B17" s="135" t="s">
        <v>167</v>
      </c>
      <c r="C17" s="135"/>
      <c r="D17" s="136">
        <f>SUMPRODUCT(('Do kho-ty le'!$B$5:$B$15=$B17)*('Do kho-ty le'!$C$5:$C$15)*($C$8:$C$18="Yes"))</f>
        <v>0</v>
      </c>
    </row>
    <row r="18" spans="1:5">
      <c r="B18" s="135" t="s">
        <v>168</v>
      </c>
      <c r="C18" s="135"/>
      <c r="D18" s="136">
        <f>SUMPRODUCT(('Do kho-ty le'!$B$5:$B$15=$B18)*('Do kho-ty le'!$C$5:$C$15)*($C$8:$C$18="Yes"))</f>
        <v>0</v>
      </c>
    </row>
    <row r="19" spans="1:5" ht="18.75">
      <c r="B19" s="141" t="s">
        <v>170</v>
      </c>
      <c r="C19" s="141"/>
      <c r="D19" s="142"/>
    </row>
    <row r="21" spans="1:5" ht="18.75">
      <c r="A21" s="127">
        <v>2</v>
      </c>
      <c r="B21" s="128" t="s">
        <v>171</v>
      </c>
      <c r="D21" s="124" t="s">
        <v>182</v>
      </c>
      <c r="E21" s="151">
        <f>SUM(E24:E500)</f>
        <v>0</v>
      </c>
    </row>
    <row r="23" spans="1:5" ht="19.5" customHeight="1">
      <c r="A23" s="124" t="s">
        <v>30</v>
      </c>
      <c r="B23" s="124" t="s">
        <v>181</v>
      </c>
      <c r="C23" s="150" t="s">
        <v>155</v>
      </c>
      <c r="D23" s="124" t="s">
        <v>176</v>
      </c>
      <c r="E23" s="124" t="s">
        <v>180</v>
      </c>
    </row>
    <row r="24" spans="1:5">
      <c r="A24" s="140" t="str">
        <f>IF(B24&lt;&gt;"",ROW()-ROW($A$23),"")</f>
        <v/>
      </c>
      <c r="B24" s="152"/>
      <c r="C24" s="137"/>
      <c r="D24" s="138" t="str">
        <f>IF(AND(B24&lt;&gt;"",C24&lt;&gt;""),SUMPRODUCT(('Do kho-ty le'!$B$20:$B$24=$C24)*('Do kho-ty le'!$C$20:$C$24)),"")</f>
        <v/>
      </c>
      <c r="E24" s="138" t="str">
        <f>IF(D24&lt;&gt;"",SUMPRODUCT(($C$8:$C$18="Yes")*($D$8:$D$18)*D24*100/30),"")</f>
        <v/>
      </c>
    </row>
    <row r="25" spans="1:5">
      <c r="A25" s="140" t="str">
        <f t="shared" ref="A25:A100" si="0">IF(B25&lt;&gt;"",ROW()-ROW($A$23),"")</f>
        <v/>
      </c>
      <c r="B25" s="152"/>
      <c r="C25" s="137"/>
      <c r="D25" s="138" t="str">
        <f>IF(AND(B25&lt;&gt;"",C25&lt;&gt;""),SUMPRODUCT(('Do kho-ty le'!$B$20:$B$24=$C25)*('Do kho-ty le'!$C$20:$C$24)),"")</f>
        <v/>
      </c>
      <c r="E25" s="138" t="str">
        <f t="shared" ref="E25:E88" si="1">IF(D25&lt;&gt;"",SUMPRODUCT(($C$8:$C$18="Yes")*($D$8:$D$18)*D25*100/30),"")</f>
        <v/>
      </c>
    </row>
    <row r="26" spans="1:5">
      <c r="A26" s="140" t="str">
        <f t="shared" si="0"/>
        <v/>
      </c>
      <c r="B26" s="152"/>
      <c r="C26" s="137"/>
      <c r="D26" s="138" t="str">
        <f>IF(AND(B26&lt;&gt;"",C26&lt;&gt;""),SUMPRODUCT(('Do kho-ty le'!$B$20:$B$24=$C26)*('Do kho-ty le'!$C$20:$C$24)),"")</f>
        <v/>
      </c>
      <c r="E26" s="138" t="str">
        <f t="shared" si="1"/>
        <v/>
      </c>
    </row>
    <row r="27" spans="1:5">
      <c r="A27" s="140" t="str">
        <f t="shared" si="0"/>
        <v/>
      </c>
      <c r="B27" s="152"/>
      <c r="C27" s="137"/>
      <c r="D27" s="138" t="str">
        <f>IF(AND(B27&lt;&gt;"",C27&lt;&gt;""),SUMPRODUCT(('Do kho-ty le'!$B$20:$B$24=$C27)*('Do kho-ty le'!$C$20:$C$24)),"")</f>
        <v/>
      </c>
      <c r="E27" s="138" t="str">
        <f t="shared" si="1"/>
        <v/>
      </c>
    </row>
    <row r="28" spans="1:5">
      <c r="A28" s="140" t="str">
        <f t="shared" si="0"/>
        <v/>
      </c>
      <c r="B28" s="152"/>
      <c r="C28" s="137"/>
      <c r="D28" s="138" t="str">
        <f>IF(AND(B28&lt;&gt;"",C28&lt;&gt;""),SUMPRODUCT(('Do kho-ty le'!$B$20:$B$24=$C28)*('Do kho-ty le'!$C$20:$C$24)),"")</f>
        <v/>
      </c>
      <c r="E28" s="138" t="str">
        <f t="shared" si="1"/>
        <v/>
      </c>
    </row>
    <row r="29" spans="1:5">
      <c r="A29" s="140" t="str">
        <f t="shared" si="0"/>
        <v/>
      </c>
      <c r="B29" s="152"/>
      <c r="C29" s="137"/>
      <c r="D29" s="138" t="str">
        <f>IF(AND(B29&lt;&gt;"",C29&lt;&gt;""),SUMPRODUCT(('Do kho-ty le'!$B$20:$B$24=$C29)*('Do kho-ty le'!$C$20:$C$24)),"")</f>
        <v/>
      </c>
      <c r="E29" s="138" t="str">
        <f t="shared" si="1"/>
        <v/>
      </c>
    </row>
    <row r="30" spans="1:5">
      <c r="A30" s="140" t="str">
        <f t="shared" si="0"/>
        <v/>
      </c>
      <c r="B30" s="152"/>
      <c r="C30" s="137"/>
      <c r="D30" s="138" t="str">
        <f>IF(AND(B30&lt;&gt;"",C30&lt;&gt;""),SUMPRODUCT(('Do kho-ty le'!$B$20:$B$24=$C30)*('Do kho-ty le'!$C$20:$C$24)),"")</f>
        <v/>
      </c>
      <c r="E30" s="138" t="str">
        <f t="shared" si="1"/>
        <v/>
      </c>
    </row>
    <row r="31" spans="1:5">
      <c r="A31" s="140" t="str">
        <f t="shared" si="0"/>
        <v/>
      </c>
      <c r="B31" s="152"/>
      <c r="C31" s="137"/>
      <c r="D31" s="138" t="str">
        <f>IF(AND(B31&lt;&gt;"",C31&lt;&gt;""),SUMPRODUCT(('Do kho-ty le'!$B$20:$B$24=$C31)*('Do kho-ty le'!$C$20:$C$24)),"")</f>
        <v/>
      </c>
      <c r="E31" s="138" t="str">
        <f t="shared" si="1"/>
        <v/>
      </c>
    </row>
    <row r="32" spans="1:5">
      <c r="A32" s="140" t="str">
        <f t="shared" si="0"/>
        <v/>
      </c>
      <c r="B32" s="152"/>
      <c r="C32" s="137"/>
      <c r="D32" s="138" t="str">
        <f>IF(AND(B32&lt;&gt;"",C32&lt;&gt;""),SUMPRODUCT(('Do kho-ty le'!$B$20:$B$24=$C32)*('Do kho-ty le'!$C$20:$C$24)),"")</f>
        <v/>
      </c>
      <c r="E32" s="138" t="str">
        <f t="shared" si="1"/>
        <v/>
      </c>
    </row>
    <row r="33" spans="1:5">
      <c r="A33" s="140" t="str">
        <f t="shared" si="0"/>
        <v/>
      </c>
      <c r="B33" s="152"/>
      <c r="C33" s="137"/>
      <c r="D33" s="138" t="str">
        <f>IF(AND(B33&lt;&gt;"",C33&lt;&gt;""),SUMPRODUCT(('Do kho-ty le'!$B$20:$B$24=$C33)*('Do kho-ty le'!$C$20:$C$24)),"")</f>
        <v/>
      </c>
      <c r="E33" s="138" t="str">
        <f t="shared" si="1"/>
        <v/>
      </c>
    </row>
    <row r="34" spans="1:5">
      <c r="A34" s="140" t="str">
        <f t="shared" si="0"/>
        <v/>
      </c>
      <c r="B34" s="152"/>
      <c r="C34" s="137"/>
      <c r="D34" s="138" t="str">
        <f>IF(AND(B34&lt;&gt;"",C34&lt;&gt;""),SUMPRODUCT(('Do kho-ty le'!$B$20:$B$24=$C34)*('Do kho-ty le'!$C$20:$C$24)),"")</f>
        <v/>
      </c>
      <c r="E34" s="138" t="str">
        <f t="shared" si="1"/>
        <v/>
      </c>
    </row>
    <row r="35" spans="1:5">
      <c r="A35" s="140" t="str">
        <f t="shared" si="0"/>
        <v/>
      </c>
      <c r="B35" s="152"/>
      <c r="C35" s="137"/>
      <c r="D35" s="138" t="str">
        <f>IF(AND(B35&lt;&gt;"",C35&lt;&gt;""),SUMPRODUCT(('Do kho-ty le'!$B$20:$B$24=$C35)*('Do kho-ty le'!$C$20:$C$24)),"")</f>
        <v/>
      </c>
      <c r="E35" s="138" t="str">
        <f t="shared" si="1"/>
        <v/>
      </c>
    </row>
    <row r="36" spans="1:5">
      <c r="A36" s="140" t="str">
        <f t="shared" si="0"/>
        <v/>
      </c>
      <c r="B36" s="152"/>
      <c r="C36" s="137"/>
      <c r="D36" s="138" t="str">
        <f>IF(AND(B36&lt;&gt;"",C36&lt;&gt;""),SUMPRODUCT(('Do kho-ty le'!$B$20:$B$24=$C36)*('Do kho-ty le'!$C$20:$C$24)),"")</f>
        <v/>
      </c>
      <c r="E36" s="138" t="str">
        <f t="shared" si="1"/>
        <v/>
      </c>
    </row>
    <row r="37" spans="1:5">
      <c r="A37" s="140" t="str">
        <f t="shared" si="0"/>
        <v/>
      </c>
      <c r="B37" s="152"/>
      <c r="C37" s="137"/>
      <c r="D37" s="138" t="str">
        <f>IF(AND(B37&lt;&gt;"",C37&lt;&gt;""),SUMPRODUCT(('Do kho-ty le'!$B$20:$B$24=$C37)*('Do kho-ty le'!$C$20:$C$24)),"")</f>
        <v/>
      </c>
      <c r="E37" s="138" t="str">
        <f t="shared" si="1"/>
        <v/>
      </c>
    </row>
    <row r="38" spans="1:5">
      <c r="A38" s="140" t="str">
        <f t="shared" si="0"/>
        <v/>
      </c>
      <c r="B38" s="152"/>
      <c r="C38" s="137"/>
      <c r="D38" s="138" t="str">
        <f>IF(AND(B38&lt;&gt;"",C38&lt;&gt;""),SUMPRODUCT(('Do kho-ty le'!$B$20:$B$24=$C38)*('Do kho-ty le'!$C$20:$C$24)),"")</f>
        <v/>
      </c>
      <c r="E38" s="138" t="str">
        <f t="shared" si="1"/>
        <v/>
      </c>
    </row>
    <row r="39" spans="1:5">
      <c r="A39" s="140" t="str">
        <f t="shared" si="0"/>
        <v/>
      </c>
      <c r="B39" s="152"/>
      <c r="C39" s="137"/>
      <c r="D39" s="138" t="str">
        <f>IF(AND(B39&lt;&gt;"",C39&lt;&gt;""),SUMPRODUCT(('Do kho-ty le'!$B$20:$B$24=$C39)*('Do kho-ty le'!$C$20:$C$24)),"")</f>
        <v/>
      </c>
      <c r="E39" s="138" t="str">
        <f t="shared" si="1"/>
        <v/>
      </c>
    </row>
    <row r="40" spans="1:5">
      <c r="A40" s="140" t="str">
        <f t="shared" si="0"/>
        <v/>
      </c>
      <c r="B40" s="152"/>
      <c r="C40" s="137"/>
      <c r="D40" s="138" t="str">
        <f>IF(AND(B40&lt;&gt;"",C40&lt;&gt;""),SUMPRODUCT(('Do kho-ty le'!$B$20:$B$24=$C40)*('Do kho-ty le'!$C$20:$C$24)),"")</f>
        <v/>
      </c>
      <c r="E40" s="138" t="str">
        <f t="shared" si="1"/>
        <v/>
      </c>
    </row>
    <row r="41" spans="1:5">
      <c r="A41" s="140" t="str">
        <f t="shared" si="0"/>
        <v/>
      </c>
      <c r="B41" s="152"/>
      <c r="C41" s="137"/>
      <c r="D41" s="138" t="str">
        <f>IF(AND(B41&lt;&gt;"",C41&lt;&gt;""),SUMPRODUCT(('Do kho-ty le'!$B$20:$B$24=$C41)*('Do kho-ty le'!$C$20:$C$24)),"")</f>
        <v/>
      </c>
      <c r="E41" s="138" t="str">
        <f t="shared" si="1"/>
        <v/>
      </c>
    </row>
    <row r="42" spans="1:5">
      <c r="A42" s="140" t="str">
        <f t="shared" si="0"/>
        <v/>
      </c>
      <c r="B42" s="152"/>
      <c r="C42" s="137"/>
      <c r="D42" s="138" t="str">
        <f>IF(AND(B42&lt;&gt;"",C42&lt;&gt;""),SUMPRODUCT(('Do kho-ty le'!$B$20:$B$24=$C42)*('Do kho-ty le'!$C$20:$C$24)),"")</f>
        <v/>
      </c>
      <c r="E42" s="138" t="str">
        <f t="shared" si="1"/>
        <v/>
      </c>
    </row>
    <row r="43" spans="1:5">
      <c r="A43" s="140" t="str">
        <f t="shared" si="0"/>
        <v/>
      </c>
      <c r="B43" s="152"/>
      <c r="C43" s="137"/>
      <c r="D43" s="138" t="str">
        <f>IF(AND(B43&lt;&gt;"",C43&lt;&gt;""),SUMPRODUCT(('Do kho-ty le'!$B$20:$B$24=$C43)*('Do kho-ty le'!$C$20:$C$24)),"")</f>
        <v/>
      </c>
      <c r="E43" s="138" t="str">
        <f t="shared" si="1"/>
        <v/>
      </c>
    </row>
    <row r="44" spans="1:5">
      <c r="A44" s="140" t="str">
        <f t="shared" si="0"/>
        <v/>
      </c>
      <c r="B44" s="152"/>
      <c r="C44" s="137"/>
      <c r="D44" s="138" t="str">
        <f>IF(AND(B44&lt;&gt;"",C44&lt;&gt;""),SUMPRODUCT(('Do kho-ty le'!$B$20:$B$24=$C44)*('Do kho-ty le'!$C$20:$C$24)),"")</f>
        <v/>
      </c>
      <c r="E44" s="138" t="str">
        <f t="shared" si="1"/>
        <v/>
      </c>
    </row>
    <row r="45" spans="1:5">
      <c r="A45" s="140" t="str">
        <f t="shared" si="0"/>
        <v/>
      </c>
      <c r="B45" s="152"/>
      <c r="C45" s="137"/>
      <c r="D45" s="138" t="str">
        <f>IF(AND(B45&lt;&gt;"",C45&lt;&gt;""),SUMPRODUCT(('Do kho-ty le'!$B$20:$B$24=$C45)*('Do kho-ty le'!$C$20:$C$24)),"")</f>
        <v/>
      </c>
      <c r="E45" s="138" t="str">
        <f t="shared" si="1"/>
        <v/>
      </c>
    </row>
    <row r="46" spans="1:5">
      <c r="A46" s="140" t="str">
        <f t="shared" si="0"/>
        <v/>
      </c>
      <c r="B46" s="152"/>
      <c r="C46" s="137"/>
      <c r="D46" s="138" t="str">
        <f>IF(AND(B46&lt;&gt;"",C46&lt;&gt;""),SUMPRODUCT(('Do kho-ty le'!$B$20:$B$24=$C46)*('Do kho-ty le'!$C$20:$C$24)),"")</f>
        <v/>
      </c>
      <c r="E46" s="138" t="str">
        <f t="shared" si="1"/>
        <v/>
      </c>
    </row>
    <row r="47" spans="1:5">
      <c r="A47" s="140" t="str">
        <f t="shared" si="0"/>
        <v/>
      </c>
      <c r="B47" s="152"/>
      <c r="C47" s="137"/>
      <c r="D47" s="138" t="str">
        <f>IF(AND(B47&lt;&gt;"",C47&lt;&gt;""),SUMPRODUCT(('Do kho-ty le'!$B$20:$B$24=$C47)*('Do kho-ty le'!$C$20:$C$24)),"")</f>
        <v/>
      </c>
      <c r="E47" s="138" t="str">
        <f t="shared" si="1"/>
        <v/>
      </c>
    </row>
    <row r="48" spans="1:5">
      <c r="A48" s="140" t="str">
        <f t="shared" si="0"/>
        <v/>
      </c>
      <c r="B48" s="152"/>
      <c r="C48" s="137"/>
      <c r="D48" s="138" t="str">
        <f>IF(AND(B48&lt;&gt;"",C48&lt;&gt;""),SUMPRODUCT(('Do kho-ty le'!$B$20:$B$24=$C48)*('Do kho-ty le'!$C$20:$C$24)),"")</f>
        <v/>
      </c>
      <c r="E48" s="138" t="str">
        <f t="shared" si="1"/>
        <v/>
      </c>
    </row>
    <row r="49" spans="1:5">
      <c r="A49" s="140" t="str">
        <f t="shared" si="0"/>
        <v/>
      </c>
      <c r="B49" s="152"/>
      <c r="C49" s="137"/>
      <c r="D49" s="138" t="str">
        <f>IF(AND(B49&lt;&gt;"",C49&lt;&gt;""),SUMPRODUCT(('Do kho-ty le'!$B$20:$B$24=$C49)*('Do kho-ty le'!$C$20:$C$24)),"")</f>
        <v/>
      </c>
      <c r="E49" s="138" t="str">
        <f t="shared" si="1"/>
        <v/>
      </c>
    </row>
    <row r="50" spans="1:5">
      <c r="A50" s="140" t="str">
        <f t="shared" si="0"/>
        <v/>
      </c>
      <c r="B50" s="152"/>
      <c r="C50" s="137"/>
      <c r="D50" s="138" t="str">
        <f>IF(AND(B50&lt;&gt;"",C50&lt;&gt;""),SUMPRODUCT(('Do kho-ty le'!$B$20:$B$24=$C50)*('Do kho-ty le'!$C$20:$C$24)),"")</f>
        <v/>
      </c>
      <c r="E50" s="138" t="str">
        <f t="shared" si="1"/>
        <v/>
      </c>
    </row>
    <row r="51" spans="1:5">
      <c r="A51" s="140"/>
      <c r="B51" s="152"/>
      <c r="C51" s="137"/>
      <c r="D51" s="138"/>
      <c r="E51" s="138" t="str">
        <f t="shared" si="1"/>
        <v/>
      </c>
    </row>
    <row r="52" spans="1:5">
      <c r="A52" s="140"/>
      <c r="B52" s="152"/>
      <c r="C52" s="137"/>
      <c r="D52" s="138"/>
      <c r="E52" s="138" t="str">
        <f t="shared" si="1"/>
        <v/>
      </c>
    </row>
    <row r="53" spans="1:5">
      <c r="A53" s="140"/>
      <c r="B53" s="152"/>
      <c r="C53" s="137"/>
      <c r="D53" s="138"/>
      <c r="E53" s="138" t="str">
        <f t="shared" si="1"/>
        <v/>
      </c>
    </row>
    <row r="54" spans="1:5">
      <c r="A54" s="140"/>
      <c r="B54" s="152"/>
      <c r="C54" s="137"/>
      <c r="D54" s="138"/>
      <c r="E54" s="138" t="str">
        <f t="shared" si="1"/>
        <v/>
      </c>
    </row>
    <row r="55" spans="1:5">
      <c r="A55" s="140"/>
      <c r="B55" s="152"/>
      <c r="C55" s="137"/>
      <c r="D55" s="138"/>
      <c r="E55" s="138" t="str">
        <f t="shared" si="1"/>
        <v/>
      </c>
    </row>
    <row r="56" spans="1:5">
      <c r="A56" s="140"/>
      <c r="B56" s="152"/>
      <c r="C56" s="137"/>
      <c r="D56" s="138"/>
      <c r="E56" s="138" t="str">
        <f t="shared" si="1"/>
        <v/>
      </c>
    </row>
    <row r="57" spans="1:5">
      <c r="A57" s="140"/>
      <c r="B57" s="152"/>
      <c r="C57" s="137"/>
      <c r="D57" s="138"/>
      <c r="E57" s="138" t="str">
        <f t="shared" si="1"/>
        <v/>
      </c>
    </row>
    <row r="58" spans="1:5">
      <c r="A58" s="140"/>
      <c r="B58" s="152"/>
      <c r="C58" s="137"/>
      <c r="D58" s="138"/>
      <c r="E58" s="138" t="str">
        <f t="shared" si="1"/>
        <v/>
      </c>
    </row>
    <row r="59" spans="1:5">
      <c r="A59" s="140"/>
      <c r="B59" s="152"/>
      <c r="C59" s="137"/>
      <c r="D59" s="138"/>
      <c r="E59" s="138" t="str">
        <f t="shared" si="1"/>
        <v/>
      </c>
    </row>
    <row r="60" spans="1:5">
      <c r="A60" s="140"/>
      <c r="B60" s="152"/>
      <c r="C60" s="137"/>
      <c r="D60" s="138"/>
      <c r="E60" s="138" t="str">
        <f t="shared" si="1"/>
        <v/>
      </c>
    </row>
    <row r="61" spans="1:5">
      <c r="A61" s="140"/>
      <c r="B61" s="152"/>
      <c r="C61" s="137"/>
      <c r="D61" s="138"/>
      <c r="E61" s="138" t="str">
        <f t="shared" si="1"/>
        <v/>
      </c>
    </row>
    <row r="62" spans="1:5">
      <c r="A62" s="140"/>
      <c r="B62" s="152"/>
      <c r="C62" s="137"/>
      <c r="D62" s="138"/>
      <c r="E62" s="138" t="str">
        <f t="shared" si="1"/>
        <v/>
      </c>
    </row>
    <row r="63" spans="1:5">
      <c r="A63" s="140"/>
      <c r="B63" s="152"/>
      <c r="C63" s="137"/>
      <c r="D63" s="138"/>
      <c r="E63" s="138" t="str">
        <f t="shared" si="1"/>
        <v/>
      </c>
    </row>
    <row r="64" spans="1:5">
      <c r="A64" s="140"/>
      <c r="B64" s="152"/>
      <c r="C64" s="137"/>
      <c r="D64" s="138"/>
      <c r="E64" s="138" t="str">
        <f t="shared" si="1"/>
        <v/>
      </c>
    </row>
    <row r="65" spans="1:5">
      <c r="A65" s="140"/>
      <c r="B65" s="152"/>
      <c r="C65" s="137"/>
      <c r="D65" s="138"/>
      <c r="E65" s="138" t="str">
        <f t="shared" si="1"/>
        <v/>
      </c>
    </row>
    <row r="66" spans="1:5">
      <c r="A66" s="140"/>
      <c r="B66" s="152"/>
      <c r="C66" s="137"/>
      <c r="D66" s="138"/>
      <c r="E66" s="138" t="str">
        <f t="shared" si="1"/>
        <v/>
      </c>
    </row>
    <row r="67" spans="1:5">
      <c r="A67" s="140"/>
      <c r="B67" s="152"/>
      <c r="C67" s="137"/>
      <c r="D67" s="138"/>
      <c r="E67" s="138" t="str">
        <f t="shared" si="1"/>
        <v/>
      </c>
    </row>
    <row r="68" spans="1:5">
      <c r="A68" s="140"/>
      <c r="B68" s="152"/>
      <c r="C68" s="137"/>
      <c r="D68" s="138"/>
      <c r="E68" s="138" t="str">
        <f t="shared" si="1"/>
        <v/>
      </c>
    </row>
    <row r="69" spans="1:5">
      <c r="A69" s="140"/>
      <c r="B69" s="152"/>
      <c r="C69" s="137"/>
      <c r="D69" s="138"/>
      <c r="E69" s="138" t="str">
        <f t="shared" si="1"/>
        <v/>
      </c>
    </row>
    <row r="70" spans="1:5">
      <c r="A70" s="140"/>
      <c r="B70" s="152"/>
      <c r="C70" s="137"/>
      <c r="D70" s="138"/>
      <c r="E70" s="138" t="str">
        <f t="shared" si="1"/>
        <v/>
      </c>
    </row>
    <row r="71" spans="1:5">
      <c r="A71" s="140"/>
      <c r="B71" s="152"/>
      <c r="C71" s="137"/>
      <c r="D71" s="138"/>
      <c r="E71" s="138" t="str">
        <f t="shared" si="1"/>
        <v/>
      </c>
    </row>
    <row r="72" spans="1:5">
      <c r="A72" s="140"/>
      <c r="B72" s="152"/>
      <c r="C72" s="137"/>
      <c r="D72" s="138"/>
      <c r="E72" s="138" t="str">
        <f t="shared" si="1"/>
        <v/>
      </c>
    </row>
    <row r="73" spans="1:5">
      <c r="A73" s="140"/>
      <c r="B73" s="152"/>
      <c r="C73" s="137"/>
      <c r="D73" s="138"/>
      <c r="E73" s="138" t="str">
        <f t="shared" si="1"/>
        <v/>
      </c>
    </row>
    <row r="74" spans="1:5">
      <c r="A74" s="140" t="str">
        <f t="shared" si="0"/>
        <v/>
      </c>
      <c r="B74" s="152"/>
      <c r="C74" s="137"/>
      <c r="D74" s="138" t="str">
        <f>IF(AND(B74&lt;&gt;"",C74&lt;&gt;""),SUMPRODUCT(('Do kho-ty le'!$B$20:$B$24=$C74)*('Do kho-ty le'!$C$20:$C$24)),"")</f>
        <v/>
      </c>
      <c r="E74" s="138" t="str">
        <f t="shared" si="1"/>
        <v/>
      </c>
    </row>
    <row r="75" spans="1:5">
      <c r="A75" s="140" t="str">
        <f t="shared" si="0"/>
        <v/>
      </c>
      <c r="B75" s="152"/>
      <c r="C75" s="137"/>
      <c r="D75" s="138" t="str">
        <f>IF(AND(B75&lt;&gt;"",C75&lt;&gt;""),SUMPRODUCT(('Do kho-ty le'!$B$20:$B$24=$C75)*('Do kho-ty le'!$C$20:$C$24)),"")</f>
        <v/>
      </c>
      <c r="E75" s="138" t="str">
        <f t="shared" si="1"/>
        <v/>
      </c>
    </row>
    <row r="76" spans="1:5">
      <c r="A76" s="140" t="str">
        <f t="shared" si="0"/>
        <v/>
      </c>
      <c r="B76" s="152"/>
      <c r="C76" s="137"/>
      <c r="D76" s="138" t="str">
        <f>IF(AND(B76&lt;&gt;"",C76&lt;&gt;""),SUMPRODUCT(('Do kho-ty le'!$B$20:$B$24=$C76)*('Do kho-ty le'!$C$20:$C$24)),"")</f>
        <v/>
      </c>
      <c r="E76" s="138" t="str">
        <f t="shared" si="1"/>
        <v/>
      </c>
    </row>
    <row r="77" spans="1:5">
      <c r="A77" s="140" t="str">
        <f t="shared" si="0"/>
        <v/>
      </c>
      <c r="B77" s="152"/>
      <c r="C77" s="137"/>
      <c r="D77" s="138" t="str">
        <f>IF(AND(B77&lt;&gt;"",C77&lt;&gt;""),SUMPRODUCT(('Do kho-ty le'!$B$20:$B$24=$C77)*('Do kho-ty le'!$C$20:$C$24)),"")</f>
        <v/>
      </c>
      <c r="E77" s="138" t="str">
        <f t="shared" si="1"/>
        <v/>
      </c>
    </row>
    <row r="78" spans="1:5">
      <c r="A78" s="140" t="str">
        <f t="shared" si="0"/>
        <v/>
      </c>
      <c r="B78" s="152"/>
      <c r="C78" s="137"/>
      <c r="D78" s="138" t="str">
        <f>IF(AND(B78&lt;&gt;"",C78&lt;&gt;""),SUMPRODUCT(('Do kho-ty le'!$B$20:$B$24=$C78)*('Do kho-ty le'!$C$20:$C$24)),"")</f>
        <v/>
      </c>
      <c r="E78" s="138" t="str">
        <f t="shared" si="1"/>
        <v/>
      </c>
    </row>
    <row r="79" spans="1:5">
      <c r="A79" s="140" t="str">
        <f t="shared" si="0"/>
        <v/>
      </c>
      <c r="B79" s="152"/>
      <c r="C79" s="137"/>
      <c r="D79" s="138" t="str">
        <f>IF(AND(B79&lt;&gt;"",C79&lt;&gt;""),SUMPRODUCT(('Do kho-ty le'!$B$20:$B$24=$C79)*('Do kho-ty le'!$C$20:$C$24)),"")</f>
        <v/>
      </c>
      <c r="E79" s="138" t="str">
        <f t="shared" si="1"/>
        <v/>
      </c>
    </row>
    <row r="80" spans="1:5">
      <c r="A80" s="140" t="str">
        <f t="shared" si="0"/>
        <v/>
      </c>
      <c r="B80" s="152"/>
      <c r="C80" s="137"/>
      <c r="D80" s="138" t="str">
        <f>IF(AND(B80&lt;&gt;"",C80&lt;&gt;""),SUMPRODUCT(('Do kho-ty le'!$B$20:$B$24=$C80)*('Do kho-ty le'!$C$20:$C$24)),"")</f>
        <v/>
      </c>
      <c r="E80" s="138" t="str">
        <f t="shared" si="1"/>
        <v/>
      </c>
    </row>
    <row r="81" spans="1:5">
      <c r="A81" s="140" t="str">
        <f t="shared" si="0"/>
        <v/>
      </c>
      <c r="B81" s="152"/>
      <c r="C81" s="137"/>
      <c r="D81" s="138" t="str">
        <f>IF(AND(B81&lt;&gt;"",C81&lt;&gt;""),SUMPRODUCT(('Do kho-ty le'!$B$20:$B$24=$C81)*('Do kho-ty le'!$C$20:$C$24)),"")</f>
        <v/>
      </c>
      <c r="E81" s="138" t="str">
        <f t="shared" si="1"/>
        <v/>
      </c>
    </row>
    <row r="82" spans="1:5">
      <c r="A82" s="140"/>
      <c r="B82" s="152"/>
      <c r="C82" s="137"/>
      <c r="D82" s="138"/>
      <c r="E82" s="138" t="str">
        <f t="shared" si="1"/>
        <v/>
      </c>
    </row>
    <row r="83" spans="1:5">
      <c r="A83" s="140"/>
      <c r="B83" s="152"/>
      <c r="C83" s="137"/>
      <c r="D83" s="138"/>
      <c r="E83" s="138" t="str">
        <f t="shared" si="1"/>
        <v/>
      </c>
    </row>
    <row r="84" spans="1:5">
      <c r="A84" s="140"/>
      <c r="B84" s="152"/>
      <c r="C84" s="137"/>
      <c r="D84" s="138"/>
      <c r="E84" s="138" t="str">
        <f t="shared" si="1"/>
        <v/>
      </c>
    </row>
    <row r="85" spans="1:5">
      <c r="A85" s="140"/>
      <c r="B85" s="152"/>
      <c r="C85" s="137"/>
      <c r="D85" s="138"/>
      <c r="E85" s="138" t="str">
        <f t="shared" si="1"/>
        <v/>
      </c>
    </row>
    <row r="86" spans="1:5">
      <c r="A86" s="140"/>
      <c r="B86" s="152"/>
      <c r="C86" s="137"/>
      <c r="D86" s="138"/>
      <c r="E86" s="138" t="str">
        <f t="shared" si="1"/>
        <v/>
      </c>
    </row>
    <row r="87" spans="1:5">
      <c r="A87" s="140"/>
      <c r="B87" s="152"/>
      <c r="C87" s="137"/>
      <c r="D87" s="138"/>
      <c r="E87" s="138" t="str">
        <f t="shared" si="1"/>
        <v/>
      </c>
    </row>
    <row r="88" spans="1:5">
      <c r="A88" s="140"/>
      <c r="B88" s="152"/>
      <c r="C88" s="137"/>
      <c r="D88" s="138"/>
      <c r="E88" s="138" t="str">
        <f t="shared" si="1"/>
        <v/>
      </c>
    </row>
    <row r="89" spans="1:5">
      <c r="A89" s="140"/>
      <c r="B89" s="152"/>
      <c r="C89" s="137"/>
      <c r="D89" s="138"/>
      <c r="E89" s="138" t="str">
        <f t="shared" ref="E89:E100" si="2">IF(D89&lt;&gt;"",SUMPRODUCT(($C$8:$C$18="Yes")*($D$8:$D$18)*D89*100/30),"")</f>
        <v/>
      </c>
    </row>
    <row r="90" spans="1:5">
      <c r="A90" s="140" t="str">
        <f t="shared" si="0"/>
        <v/>
      </c>
      <c r="B90" s="152"/>
      <c r="C90" s="137"/>
      <c r="D90" s="138" t="str">
        <f>IF(AND(B90&lt;&gt;"",C90&lt;&gt;""),SUMPRODUCT(('Do kho-ty le'!$B$20:$B$24=$C90)*('Do kho-ty le'!$C$20:$C$24)),"")</f>
        <v/>
      </c>
      <c r="E90" s="138" t="str">
        <f t="shared" si="2"/>
        <v/>
      </c>
    </row>
    <row r="91" spans="1:5">
      <c r="A91" s="140" t="str">
        <f t="shared" si="0"/>
        <v/>
      </c>
      <c r="B91" s="152"/>
      <c r="C91" s="137"/>
      <c r="D91" s="138" t="str">
        <f>IF(AND(B91&lt;&gt;"",C91&lt;&gt;""),SUMPRODUCT(('Do kho-ty le'!$B$20:$B$24=$C91)*('Do kho-ty le'!$C$20:$C$24)),"")</f>
        <v/>
      </c>
      <c r="E91" s="138" t="str">
        <f t="shared" si="2"/>
        <v/>
      </c>
    </row>
    <row r="92" spans="1:5">
      <c r="A92" s="140"/>
      <c r="B92" s="152"/>
      <c r="C92" s="137"/>
      <c r="D92" s="138"/>
      <c r="E92" s="138" t="str">
        <f t="shared" si="2"/>
        <v/>
      </c>
    </row>
    <row r="93" spans="1:5">
      <c r="A93" s="140" t="str">
        <f t="shared" si="0"/>
        <v/>
      </c>
      <c r="B93" s="152"/>
      <c r="C93" s="137"/>
      <c r="D93" s="138" t="str">
        <f>IF(AND(B93&lt;&gt;"",C93&lt;&gt;""),SUMPRODUCT(('Do kho-ty le'!$B$20:$B$24=$C93)*('Do kho-ty le'!$C$20:$C$24)),"")</f>
        <v/>
      </c>
      <c r="E93" s="138" t="str">
        <f t="shared" si="2"/>
        <v/>
      </c>
    </row>
    <row r="94" spans="1:5">
      <c r="A94" s="140" t="str">
        <f t="shared" si="0"/>
        <v/>
      </c>
      <c r="B94" s="152"/>
      <c r="C94" s="137"/>
      <c r="D94" s="138" t="str">
        <f>IF(AND(B94&lt;&gt;"",C94&lt;&gt;""),SUMPRODUCT(('Do kho-ty le'!$B$20:$B$24=$C94)*('Do kho-ty le'!$C$20:$C$24)),"")</f>
        <v/>
      </c>
      <c r="E94" s="138" t="str">
        <f t="shared" si="2"/>
        <v/>
      </c>
    </row>
    <row r="95" spans="1:5">
      <c r="A95" s="140" t="str">
        <f t="shared" si="0"/>
        <v/>
      </c>
      <c r="B95" s="152"/>
      <c r="C95" s="137"/>
      <c r="D95" s="138" t="str">
        <f>IF(AND(B95&lt;&gt;"",C95&lt;&gt;""),SUMPRODUCT(('Do kho-ty le'!$B$20:$B$24=$C95)*('Do kho-ty le'!$C$20:$C$24)),"")</f>
        <v/>
      </c>
      <c r="E95" s="138" t="str">
        <f t="shared" si="2"/>
        <v/>
      </c>
    </row>
    <row r="96" spans="1:5">
      <c r="A96" s="140" t="str">
        <f t="shared" si="0"/>
        <v/>
      </c>
      <c r="B96" s="152"/>
      <c r="C96" s="137"/>
      <c r="D96" s="138" t="str">
        <f>IF(AND(B96&lt;&gt;"",C96&lt;&gt;""),SUMPRODUCT(('Do kho-ty le'!$B$20:$B$24=$C96)*('Do kho-ty le'!$C$20:$C$24)),"")</f>
        <v/>
      </c>
      <c r="E96" s="138" t="str">
        <f t="shared" si="2"/>
        <v/>
      </c>
    </row>
    <row r="97" spans="1:5">
      <c r="A97" s="140" t="str">
        <f t="shared" si="0"/>
        <v/>
      </c>
      <c r="B97" s="152"/>
      <c r="C97" s="137"/>
      <c r="D97" s="138" t="str">
        <f>IF(AND(B97&lt;&gt;"",C97&lt;&gt;""),SUMPRODUCT(('Do kho-ty le'!$B$20:$B$24=$C97)*('Do kho-ty le'!$C$20:$C$24)),"")</f>
        <v/>
      </c>
      <c r="E97" s="138" t="str">
        <f t="shared" si="2"/>
        <v/>
      </c>
    </row>
    <row r="98" spans="1:5">
      <c r="A98" s="140" t="str">
        <f t="shared" si="0"/>
        <v/>
      </c>
      <c r="B98" s="152"/>
      <c r="C98" s="137"/>
      <c r="D98" s="138" t="str">
        <f>IF(AND(B98&lt;&gt;"",C98&lt;&gt;""),SUMPRODUCT(('Do kho-ty le'!$B$20:$B$24=$C98)*('Do kho-ty le'!$C$20:$C$24)),"")</f>
        <v/>
      </c>
      <c r="E98" s="138" t="str">
        <f t="shared" si="2"/>
        <v/>
      </c>
    </row>
    <row r="99" spans="1:5">
      <c r="A99" s="140" t="str">
        <f t="shared" si="0"/>
        <v/>
      </c>
      <c r="B99" s="152"/>
      <c r="C99" s="137"/>
      <c r="D99" s="138" t="str">
        <f>IF(AND(B99&lt;&gt;"",C99&lt;&gt;""),SUMPRODUCT(('Do kho-ty le'!$B$20:$B$24=$C99)*('Do kho-ty le'!$C$20:$C$24)),"")</f>
        <v/>
      </c>
      <c r="E99" s="138" t="str">
        <f t="shared" si="2"/>
        <v/>
      </c>
    </row>
    <row r="100" spans="1:5">
      <c r="A100" s="140" t="str">
        <f t="shared" si="0"/>
        <v/>
      </c>
      <c r="B100" s="152"/>
      <c r="C100" s="137"/>
      <c r="D100" s="138" t="str">
        <f>IF(AND(B100&lt;&gt;"",C100&lt;&gt;""),SUMPRODUCT(('Do kho-ty le'!$B$20:$B$24=$C100)*('Do kho-ty le'!$C$20:$C$24)),"")</f>
        <v/>
      </c>
      <c r="E100" s="138" t="str">
        <f t="shared" si="2"/>
        <v/>
      </c>
    </row>
  </sheetData>
  <conditionalFormatting sqref="C24:C1032">
    <cfRule type="expression" dxfId="28" priority="3">
      <formula>AND($B24&lt;&gt;"",$C24="")</formula>
    </cfRule>
  </conditionalFormatting>
  <conditionalFormatting sqref="B24:C1000">
    <cfRule type="expression" dxfId="27" priority="2">
      <formula>$B24=""</formula>
    </cfRule>
  </conditionalFormatting>
  <conditionalFormatting sqref="C8:C18">
    <cfRule type="expression" dxfId="26" priority="1">
      <formula>$C8=""</formula>
    </cfRule>
  </conditionalFormatting>
  <dataValidations count="2">
    <dataValidation type="list" allowBlank="1" showInputMessage="1" showErrorMessage="1" sqref="C24:C100">
      <formula1>Level</formula1>
    </dataValidation>
    <dataValidation type="list" allowBlank="1" showInputMessage="1" showErrorMessage="1" sqref="C8:C19">
      <formula1>"Yes, No"</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sheetPr codeName="Sheet7"/>
  <dimension ref="A1:D14"/>
  <sheetViews>
    <sheetView view="pageBreakPreview" zoomScale="106" zoomScaleSheetLayoutView="106" workbookViewId="0"/>
  </sheetViews>
  <sheetFormatPr defaultRowHeight="15"/>
  <cols>
    <col min="1" max="1" width="8.5703125" style="71" customWidth="1"/>
    <col min="2" max="2" width="37" style="71" customWidth="1"/>
    <col min="3" max="3" width="12.28515625" style="71" customWidth="1"/>
    <col min="4" max="4" width="23.140625" style="71" customWidth="1"/>
    <col min="5" max="5" width="15.7109375" style="71" customWidth="1"/>
    <col min="6" max="6" width="14.7109375" style="71" bestFit="1" customWidth="1"/>
    <col min="7" max="8" width="14.85546875" style="71" bestFit="1" customWidth="1"/>
    <col min="9" max="16384" width="9.140625" style="71"/>
  </cols>
  <sheetData>
    <row r="1" spans="1:4" ht="31.5" customHeight="1">
      <c r="A1" s="106" t="s">
        <v>136</v>
      </c>
    </row>
    <row r="3" spans="1:4">
      <c r="A3" s="143" t="s">
        <v>0</v>
      </c>
      <c r="B3" s="145" t="s">
        <v>98</v>
      </c>
      <c r="C3" s="143" t="s">
        <v>50</v>
      </c>
      <c r="D3" s="147" t="s">
        <v>2</v>
      </c>
    </row>
    <row r="4" spans="1:4" ht="30">
      <c r="A4" s="165">
        <f t="shared" ref="A4:A13" si="0">ROW()-ROW($A$3)</f>
        <v>1</v>
      </c>
      <c r="B4" s="153" t="s">
        <v>7</v>
      </c>
      <c r="C4" s="154"/>
      <c r="D4" s="155"/>
    </row>
    <row r="5" spans="1:4">
      <c r="A5" s="166">
        <f t="shared" si="0"/>
        <v>2</v>
      </c>
      <c r="B5" s="156" t="s">
        <v>5</v>
      </c>
      <c r="C5" s="157"/>
      <c r="D5" s="158"/>
    </row>
    <row r="6" spans="1:4">
      <c r="A6" s="166">
        <f t="shared" si="0"/>
        <v>3</v>
      </c>
      <c r="B6" s="156" t="s">
        <v>150</v>
      </c>
      <c r="C6" s="157"/>
      <c r="D6" s="159"/>
    </row>
    <row r="7" spans="1:4">
      <c r="A7" s="166">
        <f t="shared" si="0"/>
        <v>4</v>
      </c>
      <c r="B7" s="160"/>
      <c r="C7" s="157"/>
      <c r="D7" s="159"/>
    </row>
    <row r="8" spans="1:4">
      <c r="A8" s="166">
        <f t="shared" si="0"/>
        <v>5</v>
      </c>
      <c r="B8" s="161"/>
      <c r="C8" s="157"/>
      <c r="D8" s="159"/>
    </row>
    <row r="9" spans="1:4">
      <c r="A9" s="166">
        <f t="shared" si="0"/>
        <v>6</v>
      </c>
      <c r="B9" s="161"/>
      <c r="C9" s="157"/>
      <c r="D9" s="159"/>
    </row>
    <row r="10" spans="1:4">
      <c r="A10" s="166">
        <f t="shared" si="0"/>
        <v>7</v>
      </c>
      <c r="B10" s="161"/>
      <c r="C10" s="157"/>
      <c r="D10" s="159"/>
    </row>
    <row r="11" spans="1:4">
      <c r="A11" s="166">
        <f t="shared" si="0"/>
        <v>8</v>
      </c>
      <c r="B11" s="161"/>
      <c r="C11" s="157"/>
      <c r="D11" s="159"/>
    </row>
    <row r="12" spans="1:4">
      <c r="A12" s="166">
        <f t="shared" si="0"/>
        <v>9</v>
      </c>
      <c r="B12" s="161"/>
      <c r="C12" s="157"/>
      <c r="D12" s="159"/>
    </row>
    <row r="13" spans="1:4">
      <c r="A13" s="167">
        <f t="shared" si="0"/>
        <v>10</v>
      </c>
      <c r="B13" s="162" t="s">
        <v>86</v>
      </c>
      <c r="C13" s="163"/>
      <c r="D13" s="164"/>
    </row>
    <row r="14" spans="1:4">
      <c r="A14" s="144"/>
      <c r="B14" s="146" t="s">
        <v>99</v>
      </c>
      <c r="C14" s="149">
        <f>SUM(C4:C13)</f>
        <v>0</v>
      </c>
      <c r="D14" s="148"/>
    </row>
  </sheetData>
  <phoneticPr fontId="2"/>
  <conditionalFormatting sqref="C4:C500">
    <cfRule type="expression" dxfId="25" priority="3" stopIfTrue="1">
      <formula>AND($B4&lt;&gt;"",$C4="")</formula>
    </cfRule>
  </conditionalFormatting>
  <conditionalFormatting sqref="B4:D13">
    <cfRule type="expression" dxfId="24" priority="1">
      <formula>$B4=""</formula>
    </cfRule>
  </conditionalFormatting>
  <dataValidations count="1">
    <dataValidation type="decimal" allowBlank="1" showInputMessage="1" showErrorMessage="1" sqref="C4:C13">
      <formula1>0</formula1>
      <formula2>0.1</formula2>
    </dataValidation>
  </dataValidations>
  <printOptions horizontalCentered="1" gridLines="1" gridLinesSet="0"/>
  <pageMargins left="0.78740157480314965" right="0.78740157480314965" top="0.78740157480314965" bottom="0.78740157480314965" header="0.39370078740157483" footer="0.39370078740157483"/>
  <pageSetup paperSize="9" orientation="portrait" horizontalDpi="300" r:id="rId1"/>
  <headerFooter>
    <oddHeader>&amp;R&amp;F - &amp;A</oddHeader>
    <oddFooter>&amp;L&amp;9CMMI-PP-FM-01.02 0.20Ngày hiệu lực: 19/10/2012&amp;C&amp;"Times New Roman,Bold"Internal Use Only</oddFooter>
  </headerFooter>
  <tableParts count="1">
    <tablePart r:id="rId2"/>
  </tableParts>
</worksheet>
</file>

<file path=xl/worksheets/sheet8.xml><?xml version="1.0" encoding="utf-8"?>
<worksheet xmlns="http://schemas.openxmlformats.org/spreadsheetml/2006/main" xmlns:r="http://schemas.openxmlformats.org/officeDocument/2006/relationships">
  <sheetPr codeName="Sheet8"/>
  <dimension ref="A2:D15"/>
  <sheetViews>
    <sheetView view="pageBreakPreview" zoomScaleSheetLayoutView="100" workbookViewId="0">
      <selection activeCell="B12" sqref="B12"/>
    </sheetView>
  </sheetViews>
  <sheetFormatPr defaultRowHeight="15"/>
  <cols>
    <col min="1" max="1" width="7.7109375" customWidth="1"/>
    <col min="2" max="2" width="28" customWidth="1"/>
    <col min="4" max="4" width="40.7109375" customWidth="1"/>
  </cols>
  <sheetData>
    <row r="2" spans="1:4" ht="18.75">
      <c r="A2" s="74" t="s">
        <v>135</v>
      </c>
      <c r="B2" s="71"/>
      <c r="C2" s="71"/>
      <c r="D2" s="71"/>
    </row>
    <row r="3" spans="1:4">
      <c r="A3" s="71"/>
      <c r="B3" s="71"/>
      <c r="C3" s="71"/>
      <c r="D3" s="71"/>
    </row>
    <row r="4" spans="1:4" ht="28.5">
      <c r="A4" s="100" t="s">
        <v>0</v>
      </c>
      <c r="B4" s="101" t="s">
        <v>57</v>
      </c>
      <c r="C4" s="101" t="s">
        <v>179</v>
      </c>
      <c r="D4" s="102" t="s">
        <v>58</v>
      </c>
    </row>
    <row r="5" spans="1:4">
      <c r="A5" s="174">
        <f>ROW()-ROW($A$4)</f>
        <v>1</v>
      </c>
      <c r="B5" s="171"/>
      <c r="C5" s="169"/>
      <c r="D5" s="170"/>
    </row>
    <row r="6" spans="1:4">
      <c r="A6" s="174">
        <f t="shared" ref="A6:A14" si="0">ROW()-ROW($A$4)</f>
        <v>2</v>
      </c>
      <c r="B6" s="171"/>
      <c r="C6" s="169"/>
      <c r="D6" s="170"/>
    </row>
    <row r="7" spans="1:4">
      <c r="A7" s="174">
        <f t="shared" si="0"/>
        <v>3</v>
      </c>
      <c r="B7" s="171"/>
      <c r="C7" s="172"/>
      <c r="D7" s="173"/>
    </row>
    <row r="8" spans="1:4">
      <c r="A8" s="174">
        <f t="shared" si="0"/>
        <v>4</v>
      </c>
      <c r="B8" s="171"/>
      <c r="C8" s="172"/>
      <c r="D8" s="170"/>
    </row>
    <row r="9" spans="1:4">
      <c r="A9" s="174">
        <f t="shared" si="0"/>
        <v>5</v>
      </c>
      <c r="B9" s="168"/>
      <c r="C9" s="169"/>
      <c r="D9" s="170"/>
    </row>
    <row r="10" spans="1:4">
      <c r="A10" s="174">
        <f t="shared" si="0"/>
        <v>6</v>
      </c>
      <c r="B10" s="168"/>
      <c r="C10" s="169"/>
      <c r="D10" s="170"/>
    </row>
    <row r="11" spans="1:4">
      <c r="A11" s="174">
        <f t="shared" si="0"/>
        <v>7</v>
      </c>
      <c r="B11" s="168"/>
      <c r="C11" s="169"/>
      <c r="D11" s="170"/>
    </row>
    <row r="12" spans="1:4">
      <c r="A12" s="174">
        <f t="shared" si="0"/>
        <v>8</v>
      </c>
      <c r="B12" s="168"/>
      <c r="C12" s="169"/>
      <c r="D12" s="170"/>
    </row>
    <row r="13" spans="1:4">
      <c r="A13" s="174">
        <f t="shared" si="0"/>
        <v>9</v>
      </c>
      <c r="B13" s="168"/>
      <c r="C13" s="169"/>
      <c r="D13" s="170"/>
    </row>
    <row r="14" spans="1:4">
      <c r="A14" s="174">
        <f t="shared" si="0"/>
        <v>10</v>
      </c>
      <c r="B14" s="168"/>
      <c r="C14" s="169"/>
      <c r="D14" s="170"/>
    </row>
    <row r="15" spans="1:4">
      <c r="A15" s="83"/>
      <c r="B15" s="86" t="s">
        <v>49</v>
      </c>
      <c r="C15" s="84">
        <f>SUM(C5:C14)</f>
        <v>0</v>
      </c>
      <c r="D15" s="85"/>
    </row>
  </sheetData>
  <conditionalFormatting sqref="C5:C500">
    <cfRule type="expression" dxfId="9" priority="2" stopIfTrue="1">
      <formula>AND($B5&lt;&gt;"",$C5="")</formula>
    </cfRule>
  </conditionalFormatting>
  <conditionalFormatting sqref="B5:D14">
    <cfRule type="expression" dxfId="8" priority="1">
      <formula>$B5=""</formula>
    </cfRule>
  </conditionalFormatting>
  <pageMargins left="0.78740157480314965" right="0.78740157480314965" top="0.78740157480314965" bottom="0.78740157480314965" header="0.39370078740157483" footer="0.39370078740157483"/>
  <pageSetup paperSize="9" scale="94" orientation="portrait" r:id="rId1"/>
  <headerFooter>
    <oddHeader>&amp;R&amp;F - &amp;A</oddHeader>
    <oddFooter>&amp;L&amp;9CMMI-PP-FM-01.02 0.20Ngày hiệu lực: 19/10/2012&amp;C&amp;"Times New Roman,Bold"Internal Use Only</oddFooter>
  </headerFooter>
  <ignoredErrors>
    <ignoredError sqref="C15" calculatedColumn="1"/>
  </ignoredErrors>
  <tableParts count="1">
    <tablePart r:id="rId2"/>
  </tableParts>
</worksheet>
</file>

<file path=xl/worksheets/sheet9.xml><?xml version="1.0" encoding="utf-8"?>
<worksheet xmlns="http://schemas.openxmlformats.org/spreadsheetml/2006/main" xmlns:r="http://schemas.openxmlformats.org/officeDocument/2006/relationships">
  <sheetPr codeName="Sheet9"/>
  <dimension ref="A1:C66"/>
  <sheetViews>
    <sheetView zoomScaleSheetLayoutView="100" workbookViewId="0">
      <selection activeCell="C12" sqref="C12"/>
    </sheetView>
  </sheetViews>
  <sheetFormatPr defaultColWidth="5.140625" defaultRowHeight="15"/>
  <cols>
    <col min="1" max="1" width="5.140625" style="51" customWidth="1"/>
    <col min="2" max="2" width="23.140625" style="184" customWidth="1"/>
    <col min="3" max="3" width="82.140625" style="51" customWidth="1"/>
    <col min="4" max="8" width="5.140625" style="51"/>
    <col min="9" max="9" width="8" style="51" bestFit="1" customWidth="1"/>
    <col min="10" max="16384" width="5.140625" style="51"/>
  </cols>
  <sheetData>
    <row r="1" spans="1:3" ht="18.75">
      <c r="A1" s="197" t="s">
        <v>40</v>
      </c>
    </row>
    <row r="2" spans="1:3" ht="15.75">
      <c r="A2" s="52"/>
    </row>
    <row r="3" spans="1:3" ht="15.75">
      <c r="A3" s="187" t="s">
        <v>183</v>
      </c>
      <c r="B3" s="186"/>
    </row>
    <row r="4" spans="1:3" ht="15.75">
      <c r="A4" s="188" t="s">
        <v>9</v>
      </c>
      <c r="B4" s="189" t="s">
        <v>195</v>
      </c>
      <c r="C4" s="190"/>
    </row>
    <row r="5" spans="1:3" ht="15.75">
      <c r="A5" s="52"/>
    </row>
    <row r="6" spans="1:3">
      <c r="A6" s="53" t="s">
        <v>137</v>
      </c>
    </row>
    <row r="7" spans="1:3" ht="15.75" thickBot="1">
      <c r="A7" s="54" t="s">
        <v>30</v>
      </c>
      <c r="B7" s="55" t="s">
        <v>41</v>
      </c>
      <c r="C7" s="55" t="s">
        <v>42</v>
      </c>
    </row>
    <row r="8" spans="1:3" ht="45.75" thickTop="1">
      <c r="A8" s="56">
        <v>1</v>
      </c>
      <c r="B8" s="119" t="s">
        <v>81</v>
      </c>
      <c r="C8" s="58" t="s">
        <v>138</v>
      </c>
    </row>
    <row r="9" spans="1:3" ht="45">
      <c r="A9" s="59">
        <v>2</v>
      </c>
      <c r="B9" s="120" t="s">
        <v>82</v>
      </c>
      <c r="C9" s="60" t="s">
        <v>139</v>
      </c>
    </row>
    <row r="10" spans="1:3" ht="30">
      <c r="A10" s="59">
        <v>3</v>
      </c>
      <c r="B10" s="120" t="s">
        <v>83</v>
      </c>
      <c r="C10" s="60" t="s">
        <v>87</v>
      </c>
    </row>
    <row r="11" spans="1:3" ht="45">
      <c r="A11" s="59">
        <v>4</v>
      </c>
      <c r="B11" s="120" t="s">
        <v>85</v>
      </c>
      <c r="C11" s="198" t="s">
        <v>140</v>
      </c>
    </row>
    <row r="12" spans="1:3" ht="30">
      <c r="A12" s="59">
        <v>5</v>
      </c>
      <c r="B12" s="120" t="s">
        <v>89</v>
      </c>
      <c r="C12" s="60" t="s">
        <v>90</v>
      </c>
    </row>
    <row r="13" spans="1:3" ht="45">
      <c r="A13" s="59">
        <v>6</v>
      </c>
      <c r="B13" s="120" t="s">
        <v>91</v>
      </c>
      <c r="C13" s="60" t="s">
        <v>141</v>
      </c>
    </row>
    <row r="14" spans="1:3" ht="30">
      <c r="A14" s="59">
        <v>7</v>
      </c>
      <c r="B14" s="61" t="s">
        <v>48</v>
      </c>
      <c r="C14" s="198" t="s">
        <v>142</v>
      </c>
    </row>
    <row r="15" spans="1:3" ht="30">
      <c r="A15" s="108">
        <v>8</v>
      </c>
      <c r="B15" s="109" t="s">
        <v>55</v>
      </c>
      <c r="C15" s="199" t="s">
        <v>92</v>
      </c>
    </row>
    <row r="16" spans="1:3" ht="45">
      <c r="A16" s="62">
        <v>9</v>
      </c>
      <c r="B16" s="121" t="s">
        <v>102</v>
      </c>
      <c r="C16" s="122" t="s">
        <v>107</v>
      </c>
    </row>
    <row r="17" spans="1:3">
      <c r="C17" s="200"/>
    </row>
    <row r="18" spans="1:3">
      <c r="A18" s="53" t="s">
        <v>143</v>
      </c>
    </row>
    <row r="19" spans="1:3">
      <c r="A19" s="51" t="s">
        <v>70</v>
      </c>
    </row>
    <row r="20" spans="1:3">
      <c r="A20" s="51" t="s">
        <v>69</v>
      </c>
    </row>
    <row r="21" spans="1:3" ht="15.75" thickBot="1">
      <c r="A21" s="54" t="s">
        <v>30</v>
      </c>
      <c r="B21" s="55" t="s">
        <v>41</v>
      </c>
      <c r="C21" s="55" t="s">
        <v>42</v>
      </c>
    </row>
    <row r="22" spans="1:3" ht="15.75" thickTop="1">
      <c r="A22" s="56">
        <v>1</v>
      </c>
      <c r="B22" s="119" t="s">
        <v>66</v>
      </c>
      <c r="C22" s="58" t="s">
        <v>110</v>
      </c>
    </row>
    <row r="23" spans="1:3">
      <c r="A23" s="59">
        <v>2</v>
      </c>
      <c r="B23" s="120" t="s">
        <v>67</v>
      </c>
      <c r="C23" s="60" t="s">
        <v>111</v>
      </c>
    </row>
    <row r="24" spans="1:3">
      <c r="A24" s="59">
        <v>3</v>
      </c>
      <c r="B24" s="120" t="s">
        <v>71</v>
      </c>
      <c r="C24" s="60" t="s">
        <v>112</v>
      </c>
    </row>
    <row r="25" spans="1:3">
      <c r="A25" s="59">
        <v>4</v>
      </c>
      <c r="B25" s="120" t="s">
        <v>68</v>
      </c>
      <c r="C25" s="198" t="s">
        <v>113</v>
      </c>
    </row>
    <row r="26" spans="1:3">
      <c r="A26" s="59">
        <v>5</v>
      </c>
      <c r="B26" s="120" t="s">
        <v>93</v>
      </c>
      <c r="C26" s="198" t="s">
        <v>114</v>
      </c>
    </row>
    <row r="27" spans="1:3">
      <c r="A27" s="59">
        <v>6</v>
      </c>
      <c r="B27" s="120" t="s">
        <v>94</v>
      </c>
      <c r="C27" s="198" t="s">
        <v>115</v>
      </c>
    </row>
    <row r="28" spans="1:3" ht="30">
      <c r="A28" s="59">
        <v>7</v>
      </c>
      <c r="B28" s="120" t="s">
        <v>62</v>
      </c>
      <c r="C28" s="198" t="s">
        <v>106</v>
      </c>
    </row>
    <row r="29" spans="1:3" ht="45">
      <c r="A29" s="62"/>
      <c r="B29" s="121" t="s">
        <v>84</v>
      </c>
      <c r="C29" s="122" t="s">
        <v>116</v>
      </c>
    </row>
    <row r="30" spans="1:3">
      <c r="A30" s="104"/>
      <c r="B30" s="123"/>
      <c r="C30" s="200"/>
    </row>
    <row r="31" spans="1:3">
      <c r="A31" s="53" t="s">
        <v>187</v>
      </c>
    </row>
    <row r="32" spans="1:3">
      <c r="A32" s="77"/>
    </row>
    <row r="33" spans="1:3" ht="15.75" thickBot="1">
      <c r="A33" s="54" t="s">
        <v>30</v>
      </c>
      <c r="B33" s="55" t="s">
        <v>41</v>
      </c>
      <c r="C33" s="55" t="s">
        <v>42</v>
      </c>
    </row>
    <row r="34" spans="1:3" ht="60.75" thickTop="1">
      <c r="A34" s="59">
        <v>1</v>
      </c>
      <c r="B34" s="185" t="s">
        <v>159</v>
      </c>
      <c r="C34" s="60" t="s">
        <v>184</v>
      </c>
    </row>
    <row r="35" spans="1:3">
      <c r="A35" s="59">
        <v>2</v>
      </c>
      <c r="B35" s="185" t="s">
        <v>162</v>
      </c>
      <c r="C35" s="60" t="s">
        <v>185</v>
      </c>
    </row>
    <row r="36" spans="1:3">
      <c r="A36" s="59">
        <v>3</v>
      </c>
      <c r="B36" s="185" t="s">
        <v>170</v>
      </c>
      <c r="C36" s="60" t="s">
        <v>186</v>
      </c>
    </row>
    <row r="37" spans="1:3" ht="60">
      <c r="A37" s="194">
        <v>4</v>
      </c>
      <c r="B37" s="195" t="s">
        <v>161</v>
      </c>
      <c r="C37" s="196" t="s">
        <v>192</v>
      </c>
    </row>
    <row r="38" spans="1:3">
      <c r="A38" s="104"/>
      <c r="B38" s="191"/>
      <c r="C38" s="192"/>
    </row>
    <row r="39" spans="1:3">
      <c r="A39" s="53" t="s">
        <v>188</v>
      </c>
    </row>
    <row r="40" spans="1:3" ht="15.75" thickBot="1">
      <c r="A40" s="54" t="s">
        <v>30</v>
      </c>
      <c r="B40" s="55" t="s">
        <v>41</v>
      </c>
      <c r="C40" s="55" t="s">
        <v>42</v>
      </c>
    </row>
    <row r="41" spans="1:3" ht="75.75" thickTop="1">
      <c r="A41" s="56">
        <v>1</v>
      </c>
      <c r="B41" s="119" t="s">
        <v>181</v>
      </c>
      <c r="C41" s="193" t="s">
        <v>189</v>
      </c>
    </row>
    <row r="42" spans="1:3">
      <c r="A42" s="59">
        <v>2</v>
      </c>
      <c r="B42" s="120" t="s">
        <v>155</v>
      </c>
      <c r="C42" s="60" t="s">
        <v>190</v>
      </c>
    </row>
    <row r="43" spans="1:3" ht="30">
      <c r="A43" s="59">
        <v>3</v>
      </c>
      <c r="B43" s="120" t="s">
        <v>176</v>
      </c>
      <c r="C43" s="60" t="s">
        <v>191</v>
      </c>
    </row>
    <row r="44" spans="1:3" ht="45">
      <c r="A44" s="59">
        <v>4</v>
      </c>
      <c r="B44" s="120" t="s">
        <v>180</v>
      </c>
      <c r="C44" s="198" t="s">
        <v>193</v>
      </c>
    </row>
    <row r="45" spans="1:3" ht="30">
      <c r="A45" s="59">
        <v>5</v>
      </c>
      <c r="B45" s="120" t="s">
        <v>83</v>
      </c>
      <c r="C45" s="198" t="s">
        <v>194</v>
      </c>
    </row>
    <row r="46" spans="1:3">
      <c r="A46" s="62"/>
      <c r="B46" s="121"/>
      <c r="C46" s="122"/>
    </row>
    <row r="47" spans="1:3">
      <c r="A47" s="104"/>
      <c r="B47" s="123"/>
      <c r="C47" s="201"/>
    </row>
    <row r="48" spans="1:3">
      <c r="A48" s="53" t="s">
        <v>144</v>
      </c>
    </row>
    <row r="49" spans="1:3" ht="15.75" thickBot="1">
      <c r="A49" s="54" t="s">
        <v>30</v>
      </c>
      <c r="B49" s="55" t="s">
        <v>41</v>
      </c>
      <c r="C49" s="55" t="s">
        <v>42</v>
      </c>
    </row>
    <row r="50" spans="1:3" ht="15.75" thickTop="1">
      <c r="A50" s="56">
        <v>1</v>
      </c>
      <c r="B50" s="119" t="s">
        <v>30</v>
      </c>
      <c r="C50" s="58" t="s">
        <v>72</v>
      </c>
    </row>
    <row r="51" spans="1:3">
      <c r="A51" s="59">
        <v>2</v>
      </c>
      <c r="B51" s="120" t="s">
        <v>133</v>
      </c>
      <c r="C51" s="60" t="s">
        <v>145</v>
      </c>
    </row>
    <row r="52" spans="1:3">
      <c r="A52" s="62">
        <v>3</v>
      </c>
      <c r="B52" s="121" t="s">
        <v>146</v>
      </c>
      <c r="C52" s="122" t="s">
        <v>147</v>
      </c>
    </row>
    <row r="53" spans="1:3">
      <c r="A53" s="104"/>
      <c r="B53" s="123"/>
      <c r="C53" s="200"/>
    </row>
    <row r="54" spans="1:3">
      <c r="A54" s="53" t="s">
        <v>148</v>
      </c>
    </row>
    <row r="55" spans="1:3" ht="15.75" thickBot="1">
      <c r="A55" s="54" t="s">
        <v>30</v>
      </c>
      <c r="B55" s="55" t="s">
        <v>41</v>
      </c>
      <c r="C55" s="55" t="s">
        <v>42</v>
      </c>
    </row>
    <row r="56" spans="1:3" ht="15.75" thickTop="1">
      <c r="A56" s="56">
        <v>1</v>
      </c>
      <c r="B56" s="119" t="s">
        <v>0</v>
      </c>
      <c r="C56" s="58" t="s">
        <v>72</v>
      </c>
    </row>
    <row r="57" spans="1:3" ht="30">
      <c r="A57" s="59">
        <v>2</v>
      </c>
      <c r="B57" s="120" t="s">
        <v>73</v>
      </c>
      <c r="C57" s="60" t="s">
        <v>74</v>
      </c>
    </row>
    <row r="58" spans="1:3">
      <c r="A58" s="59">
        <v>3</v>
      </c>
      <c r="B58" s="120" t="s">
        <v>75</v>
      </c>
      <c r="C58" s="60" t="s">
        <v>108</v>
      </c>
    </row>
    <row r="59" spans="1:3">
      <c r="A59" s="62">
        <v>4</v>
      </c>
      <c r="B59" s="121" t="s">
        <v>76</v>
      </c>
      <c r="C59" s="122" t="s">
        <v>109</v>
      </c>
    </row>
    <row r="60" spans="1:3">
      <c r="A60" s="104"/>
      <c r="B60" s="123"/>
      <c r="C60" s="200"/>
    </row>
    <row r="61" spans="1:3">
      <c r="A61" s="53" t="s">
        <v>149</v>
      </c>
    </row>
    <row r="62" spans="1:3" ht="15.75" thickBot="1">
      <c r="A62" s="54" t="s">
        <v>30</v>
      </c>
      <c r="B62" s="55" t="s">
        <v>41</v>
      </c>
      <c r="C62" s="55" t="s">
        <v>42</v>
      </c>
    </row>
    <row r="63" spans="1:3" ht="15.75" thickTop="1">
      <c r="A63" s="56">
        <v>1</v>
      </c>
      <c r="B63" s="57" t="s">
        <v>0</v>
      </c>
      <c r="C63" s="58" t="s">
        <v>72</v>
      </c>
    </row>
    <row r="64" spans="1:3">
      <c r="A64" s="59">
        <v>2</v>
      </c>
      <c r="B64" s="120" t="s">
        <v>98</v>
      </c>
      <c r="C64" s="60" t="s">
        <v>100</v>
      </c>
    </row>
    <row r="65" spans="1:3">
      <c r="A65" s="59">
        <v>3</v>
      </c>
      <c r="B65" s="61" t="s">
        <v>50</v>
      </c>
      <c r="C65" s="60" t="s">
        <v>101</v>
      </c>
    </row>
    <row r="66" spans="1:3">
      <c r="A66" s="62">
        <v>4</v>
      </c>
      <c r="B66" s="121" t="s">
        <v>2</v>
      </c>
      <c r="C66" s="122" t="s">
        <v>56</v>
      </c>
    </row>
  </sheetData>
  <printOptions horizontalCentered="1"/>
  <pageMargins left="0.78740157480314965" right="0.78740157480314965" top="0.78740157480314965" bottom="0.78740157480314965" header="0.39370078740157483" footer="0.39370078740157483"/>
  <pageSetup paperSize="9" scale="75" orientation="portrait" r:id="rId1"/>
  <headerFooter>
    <oddHeader>&amp;R&amp;F - &amp;A</oddHeader>
    <oddFooter>&amp;L&amp;9CMMI-PP-FM-01.02 0.20Ngày hiệu lực: 19/10/2012&amp;C&amp;"Times New Roman,Bold"Internal Use Only</oddFooter>
  </headerFooter>
</worksheet>
</file>

<file path=xl/worksheets/sheet10.xml><?xml version="1.0" encoding="utf-8"?>
<worksheet xmlns="http://schemas.openxmlformats.org/spreadsheetml/2006/main" xmlns:r="http://schemas.openxmlformats.org/officeDocument/2006/relationships">
  <sheetPr codeName="Sheet12"/>
  <dimension ref="A2:D24"/>
  <sheetViews>
    <sheetView workbookViewId="0"/>
  </sheetViews>
  <sheetFormatPr defaultRowHeight="15"/>
  <cols>
    <col min="2" max="2" width="28.28515625" customWidth="1"/>
    <col min="4" max="4" width="5.85546875" bestFit="1" customWidth="1"/>
  </cols>
  <sheetData>
    <row r="2" spans="1:3">
      <c r="A2" s="131">
        <v>1</v>
      </c>
      <c r="B2" s="131" t="s">
        <v>172</v>
      </c>
    </row>
    <row r="4" spans="1:3">
      <c r="B4" s="132" t="s">
        <v>174</v>
      </c>
      <c r="C4" s="132" t="s">
        <v>3</v>
      </c>
    </row>
    <row r="5" spans="1:3">
      <c r="B5" s="125" t="s">
        <v>151</v>
      </c>
      <c r="C5" s="126">
        <v>0.17</v>
      </c>
    </row>
    <row r="6" spans="1:3">
      <c r="B6" s="125" t="s">
        <v>152</v>
      </c>
      <c r="C6" s="126">
        <v>0.13</v>
      </c>
    </row>
    <row r="7" spans="1:3">
      <c r="B7" s="125" t="s">
        <v>153</v>
      </c>
      <c r="C7" s="126">
        <v>0.05</v>
      </c>
    </row>
    <row r="8" spans="1:3">
      <c r="B8" s="125" t="s">
        <v>134</v>
      </c>
      <c r="C8" s="126">
        <v>0.3</v>
      </c>
    </row>
    <row r="9" spans="1:3">
      <c r="B9" s="125" t="s">
        <v>154</v>
      </c>
      <c r="C9" s="126">
        <v>0.3</v>
      </c>
    </row>
    <row r="10" spans="1:3">
      <c r="B10" s="125" t="s">
        <v>164</v>
      </c>
      <c r="C10" s="126">
        <v>0.15</v>
      </c>
    </row>
    <row r="11" spans="1:3">
      <c r="B11" s="125" t="s">
        <v>163</v>
      </c>
      <c r="C11" s="126">
        <v>0.15</v>
      </c>
    </row>
    <row r="12" spans="1:3">
      <c r="B12" s="125" t="s">
        <v>165</v>
      </c>
      <c r="C12" s="126">
        <v>0.15</v>
      </c>
    </row>
    <row r="13" spans="1:3">
      <c r="B13" s="125" t="s">
        <v>166</v>
      </c>
      <c r="C13" s="126">
        <v>0.1</v>
      </c>
    </row>
    <row r="14" spans="1:3">
      <c r="B14" s="125" t="s">
        <v>167</v>
      </c>
      <c r="C14" s="126">
        <v>0.1</v>
      </c>
    </row>
    <row r="15" spans="1:3">
      <c r="B15" s="125" t="s">
        <v>168</v>
      </c>
      <c r="C15" s="126">
        <v>0.1</v>
      </c>
    </row>
    <row r="17" spans="1:4">
      <c r="A17" s="131">
        <v>2</v>
      </c>
      <c r="B17" s="131" t="s">
        <v>173</v>
      </c>
    </row>
    <row r="19" spans="1:4">
      <c r="B19" s="132" t="s">
        <v>174</v>
      </c>
      <c r="C19" s="132" t="s">
        <v>103</v>
      </c>
      <c r="D19" s="132" t="s">
        <v>177</v>
      </c>
    </row>
    <row r="20" spans="1:4">
      <c r="B20" s="125" t="s">
        <v>156</v>
      </c>
      <c r="C20" s="125">
        <v>0.5</v>
      </c>
      <c r="D20" s="139">
        <f>C20*1/$C$8</f>
        <v>1.6666666666666667</v>
      </c>
    </row>
    <row r="21" spans="1:4">
      <c r="B21" s="125" t="s">
        <v>130</v>
      </c>
      <c r="C21" s="125">
        <v>1</v>
      </c>
      <c r="D21" s="139">
        <f t="shared" ref="D21:D24" si="0">C21*1/$C$8</f>
        <v>3.3333333333333335</v>
      </c>
    </row>
    <row r="22" spans="1:4">
      <c r="B22" s="125" t="s">
        <v>169</v>
      </c>
      <c r="C22" s="125">
        <v>2</v>
      </c>
      <c r="D22" s="139">
        <f t="shared" si="0"/>
        <v>6.666666666666667</v>
      </c>
    </row>
    <row r="23" spans="1:4">
      <c r="B23" s="125" t="s">
        <v>175</v>
      </c>
      <c r="C23" s="125">
        <v>3</v>
      </c>
      <c r="D23" s="139">
        <f t="shared" si="0"/>
        <v>10</v>
      </c>
    </row>
    <row r="24" spans="1:4">
      <c r="B24" s="125" t="s">
        <v>157</v>
      </c>
      <c r="C24" s="125">
        <v>6</v>
      </c>
      <c r="D24" s="139">
        <f t="shared" si="0"/>
        <v>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00.HDSD&amp;PheDuyet</vt:lpstr>
      <vt:lpstr>Title</vt:lpstr>
      <vt:lpstr>RevisionHistory</vt:lpstr>
      <vt:lpstr>ListTaiLieuLienQuan</vt:lpstr>
      <vt:lpstr>EstimateTongHop</vt:lpstr>
      <vt:lpstr>WBSSizeEstimate</vt:lpstr>
      <vt:lpstr>Non-FunctionalSizeEstimate</vt:lpstr>
      <vt:lpstr>EstimateCongSoKhac</vt:lpstr>
      <vt:lpstr>HDSD</vt:lpstr>
      <vt:lpstr>Do kho-ty le</vt:lpstr>
      <vt:lpstr>Level</vt:lpstr>
      <vt:lpstr>EstimateCongSoKhac!Print_Area</vt:lpstr>
      <vt:lpstr>'Non-FunctionalSizeEstimate'!Print_Area</vt:lpstr>
      <vt:lpstr>ListTaiLieuLienQuan!Print_Titles</vt:lpstr>
      <vt:lpstr>RevisionHistory!Print_Titles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tranthihuonggiang</cp:lastModifiedBy>
  <cp:lastPrinted>2015-05-29T08:21:08Z</cp:lastPrinted>
  <dcterms:created xsi:type="dcterms:W3CDTF">2012-05-18T10:31:49Z</dcterms:created>
  <dcterms:modified xsi:type="dcterms:W3CDTF">2015-06-16T10:30:13Z</dcterms:modified>
</cp:coreProperties>
</file>